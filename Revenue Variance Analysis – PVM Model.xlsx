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Divya\Power BI\GitHub Uploads\"/>
    </mc:Choice>
  </mc:AlternateContent>
  <xr:revisionPtr revIDLastSave="0" documentId="13_ncr:1_{016322E6-BF55-4117-8FFD-E92F750F064F}" xr6:coauthVersionLast="47" xr6:coauthVersionMax="47" xr10:uidLastSave="{00000000-0000-0000-0000-000000000000}"/>
  <bookViews>
    <workbookView xWindow="-108" yWindow="-108" windowWidth="23256" windowHeight="13896" xr2:uid="{656ECC55-C842-4FAC-8430-2576583329C5}"/>
  </bookViews>
  <sheets>
    <sheet name="PVM" sheetId="4" r:id="rId1"/>
    <sheet name="Sales 2021" sheetId="1" state="hidden" r:id="rId2"/>
    <sheet name="Sales 2020" sheetId="2" state="hidden" r:id="rId3"/>
  </sheets>
  <definedNames>
    <definedName name="_xlnm._FilterDatabase" localSheetId="0" hidden="1">PVM!$H$5:$P$43</definedName>
    <definedName name="_xlchart.v1.0" hidden="1">PVM!$B$45:$B$51</definedName>
    <definedName name="_xlchart.v1.1" hidden="1">PVM!$C$45:$C$51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 SalesData_e547d427-5a63-490b-9ef7-c245c15f7d3b" name="Qry SalesData" connection="Query - Qry SalesData"/>
        </x15:modelTables>
        <x15:extLst>
          <ext xmlns:x16="http://schemas.microsoft.com/office/spreadsheetml/2014/11/main" uri="{9835A34E-60A6-4A7C-AAB8-D5F71C897F49}">
            <x16:modelTimeGroupings>
              <x16:modelTimeGrouping tableName="Qry SalesData" columnName="Year" columnId="Year">
                <x16:calculatedTimeColumn columnName="Year (Year)" columnId="Year (Year)" contentType="years" isSelected="1"/>
                <x16:calculatedTimeColumn columnName="Year (Quarter)" columnId="Year (Quarter)" contentType="quarters" isSelected="1"/>
                <x16:calculatedTimeColumn columnName="Year (Month Index)" columnId="Year (Month Index)" contentType="monthsindex" isSelected="1"/>
                <x16:calculatedTimeColumn columnName="Year (Month)" columnId="Year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4" l="1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6" i="4"/>
  <c r="Q16" i="4"/>
  <c r="Q17" i="4"/>
  <c r="Q18" i="4"/>
  <c r="Q19" i="4"/>
  <c r="Q20" i="4"/>
  <c r="Q36" i="4"/>
  <c r="Q37" i="4"/>
  <c r="Q38" i="4"/>
  <c r="Q39" i="4"/>
  <c r="Q40" i="4"/>
  <c r="H46" i="4"/>
  <c r="I46" i="4"/>
  <c r="J46" i="4"/>
  <c r="K46" i="4"/>
  <c r="Q35" i="4" l="1"/>
  <c r="Q15" i="4"/>
  <c r="Q34" i="4"/>
  <c r="Q14" i="4"/>
  <c r="Q33" i="4"/>
  <c r="Q13" i="4"/>
  <c r="Q32" i="4"/>
  <c r="Q12" i="4"/>
  <c r="Q31" i="4"/>
  <c r="Q11" i="4"/>
  <c r="Q30" i="4"/>
  <c r="Q10" i="4"/>
  <c r="Q29" i="4"/>
  <c r="Q9" i="4"/>
  <c r="Q28" i="4"/>
  <c r="Q8" i="4"/>
  <c r="Q27" i="4"/>
  <c r="Q7" i="4"/>
  <c r="Q26" i="4"/>
  <c r="Q25" i="4"/>
  <c r="Q24" i="4"/>
  <c r="Q23" i="4"/>
  <c r="Q22" i="4"/>
  <c r="Q21" i="4"/>
  <c r="Q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G41" i="4" l="1"/>
  <c r="F41" i="4"/>
  <c r="E41" i="4"/>
  <c r="C45" i="4" s="1"/>
  <c r="D41" i="4"/>
  <c r="K6" i="4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6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L37" i="4" l="1"/>
  <c r="L20" i="4"/>
  <c r="L22" i="4"/>
  <c r="L6" i="4"/>
  <c r="L26" i="4"/>
  <c r="L7" i="4"/>
  <c r="L27" i="4"/>
  <c r="L8" i="4"/>
  <c r="L28" i="4"/>
  <c r="L38" i="4"/>
  <c r="L9" i="4"/>
  <c r="L32" i="4"/>
  <c r="L33" i="4"/>
  <c r="L14" i="4"/>
  <c r="L34" i="4"/>
  <c r="L23" i="4"/>
  <c r="L25" i="4"/>
  <c r="L30" i="4"/>
  <c r="L11" i="4"/>
  <c r="L35" i="4"/>
  <c r="L17" i="4"/>
  <c r="L18" i="4"/>
  <c r="L19" i="4"/>
  <c r="L39" i="4"/>
  <c r="L40" i="4"/>
  <c r="L21" i="4"/>
  <c r="L24" i="4"/>
  <c r="L29" i="4"/>
  <c r="L10" i="4"/>
  <c r="L31" i="4"/>
  <c r="L12" i="4"/>
  <c r="L13" i="4"/>
  <c r="L15" i="4"/>
  <c r="L16" i="4"/>
  <c r="L36" i="4"/>
  <c r="O17" i="4"/>
  <c r="P21" i="4"/>
  <c r="P37" i="4"/>
  <c r="P6" i="4"/>
  <c r="O22" i="4"/>
  <c r="O26" i="4"/>
  <c r="O13" i="4"/>
  <c r="O33" i="4"/>
  <c r="O18" i="4"/>
  <c r="O38" i="4"/>
  <c r="P25" i="4"/>
  <c r="O25" i="4"/>
  <c r="P13" i="4"/>
  <c r="O9" i="4"/>
  <c r="P9" i="4"/>
  <c r="P29" i="4"/>
  <c r="O6" i="4"/>
  <c r="I41" i="4"/>
  <c r="O37" i="4"/>
  <c r="O29" i="4"/>
  <c r="O21" i="4"/>
  <c r="K41" i="4"/>
  <c r="O30" i="4"/>
  <c r="O14" i="4"/>
  <c r="O34" i="4"/>
  <c r="O10" i="4"/>
  <c r="P33" i="4"/>
  <c r="P17" i="4"/>
  <c r="P36" i="4"/>
  <c r="P28" i="4"/>
  <c r="P20" i="4"/>
  <c r="P12" i="4"/>
  <c r="P8" i="4"/>
  <c r="J41" i="4"/>
  <c r="O36" i="4"/>
  <c r="O28" i="4"/>
  <c r="O20" i="4"/>
  <c r="O12" i="4"/>
  <c r="P39" i="4"/>
  <c r="P31" i="4"/>
  <c r="P23" i="4"/>
  <c r="P15" i="4"/>
  <c r="P7" i="4"/>
  <c r="P40" i="4"/>
  <c r="P32" i="4"/>
  <c r="P24" i="4"/>
  <c r="P16" i="4"/>
  <c r="O40" i="4"/>
  <c r="O32" i="4"/>
  <c r="O24" i="4"/>
  <c r="O16" i="4"/>
  <c r="O8" i="4"/>
  <c r="P35" i="4"/>
  <c r="P27" i="4"/>
  <c r="P19" i="4"/>
  <c r="P11" i="4"/>
  <c r="O39" i="4"/>
  <c r="O35" i="4"/>
  <c r="O31" i="4"/>
  <c r="O27" i="4"/>
  <c r="O23" i="4"/>
  <c r="O19" i="4"/>
  <c r="O15" i="4"/>
  <c r="O11" i="4"/>
  <c r="O7" i="4"/>
  <c r="P38" i="4"/>
  <c r="P34" i="4"/>
  <c r="P30" i="4"/>
  <c r="P26" i="4"/>
  <c r="P22" i="4"/>
  <c r="P18" i="4"/>
  <c r="P14" i="4"/>
  <c r="P10" i="4"/>
  <c r="H41" i="4"/>
  <c r="P41" i="4" l="1"/>
  <c r="C50" i="4" s="1"/>
  <c r="L41" i="4"/>
  <c r="C46" i="4" s="1"/>
  <c r="O41" i="4"/>
  <c r="C49" i="4" s="1"/>
  <c r="M41" i="4"/>
  <c r="C47" i="4" s="1"/>
  <c r="F8" i="2"/>
  <c r="F12" i="2"/>
  <c r="F16" i="2"/>
  <c r="F20" i="2"/>
  <c r="F24" i="2"/>
  <c r="F28" i="2"/>
  <c r="F32" i="2"/>
  <c r="F36" i="2"/>
  <c r="F40" i="2"/>
  <c r="F44" i="2"/>
  <c r="F48" i="2"/>
  <c r="F52" i="2"/>
  <c r="F56" i="2"/>
  <c r="F60" i="2"/>
  <c r="F64" i="2"/>
  <c r="F68" i="2"/>
  <c r="F72" i="2"/>
  <c r="F76" i="2"/>
  <c r="F80" i="2"/>
  <c r="F84" i="2"/>
  <c r="H88" i="2"/>
  <c r="H92" i="2"/>
  <c r="H96" i="2"/>
  <c r="H100" i="2"/>
  <c r="H104" i="2"/>
  <c r="H108" i="2"/>
  <c r="H112" i="2"/>
  <c r="H116" i="2"/>
  <c r="H120" i="2"/>
  <c r="H124" i="2"/>
  <c r="H128" i="2"/>
  <c r="H132" i="2"/>
  <c r="H136" i="2"/>
  <c r="H140" i="2"/>
  <c r="H144" i="2"/>
  <c r="H148" i="2"/>
  <c r="H152" i="2"/>
  <c r="H156" i="2"/>
  <c r="H160" i="2"/>
  <c r="H164" i="2"/>
  <c r="H168" i="2"/>
  <c r="H172" i="2"/>
  <c r="H176" i="2"/>
  <c r="H180" i="2"/>
  <c r="H184" i="2"/>
  <c r="H188" i="2"/>
  <c r="H192" i="2"/>
  <c r="H196" i="2"/>
  <c r="H200" i="2"/>
  <c r="H204" i="2"/>
  <c r="H208" i="2"/>
  <c r="H212" i="2"/>
  <c r="H216" i="2"/>
  <c r="H220" i="2"/>
  <c r="H224" i="2"/>
  <c r="H228" i="2"/>
  <c r="H232" i="2"/>
  <c r="H236" i="2"/>
  <c r="H240" i="2"/>
  <c r="H244" i="2"/>
  <c r="H248" i="2"/>
  <c r="H252" i="2"/>
  <c r="H256" i="2"/>
  <c r="H260" i="2"/>
  <c r="H264" i="2"/>
  <c r="H268" i="2"/>
  <c r="H272" i="2"/>
  <c r="H276" i="2"/>
  <c r="H280" i="2"/>
  <c r="H284" i="2"/>
  <c r="H288" i="2"/>
  <c r="H292" i="2"/>
  <c r="H296" i="2"/>
  <c r="H300" i="2"/>
  <c r="H304" i="2"/>
  <c r="H308" i="2"/>
  <c r="H312" i="2"/>
  <c r="H316" i="2"/>
  <c r="H320" i="2"/>
  <c r="H324" i="2"/>
  <c r="H328" i="2"/>
  <c r="H332" i="2"/>
  <c r="H336" i="2"/>
  <c r="H340" i="2"/>
  <c r="F344" i="2"/>
  <c r="F360" i="2"/>
  <c r="F376" i="2"/>
  <c r="F392" i="2"/>
  <c r="F408" i="2"/>
  <c r="F424" i="2"/>
  <c r="F440" i="2"/>
  <c r="F456" i="2"/>
  <c r="F472" i="2"/>
  <c r="F488" i="2"/>
  <c r="F504" i="2"/>
  <c r="F520" i="2"/>
  <c r="F536" i="2"/>
  <c r="F552" i="2"/>
  <c r="F568" i="2"/>
  <c r="F584" i="2"/>
  <c r="F600" i="2"/>
  <c r="F616" i="2"/>
  <c r="F622" i="2"/>
  <c r="F626" i="2"/>
  <c r="F630" i="2"/>
  <c r="F634" i="2"/>
  <c r="F638" i="2"/>
  <c r="F642" i="2"/>
  <c r="F646" i="2"/>
  <c r="F650" i="2"/>
  <c r="H650" i="2"/>
  <c r="H649" i="2"/>
  <c r="F649" i="2"/>
  <c r="H647" i="2"/>
  <c r="F647" i="2"/>
  <c r="H646" i="2"/>
  <c r="H645" i="2"/>
  <c r="F645" i="2"/>
  <c r="H643" i="2"/>
  <c r="F643" i="2"/>
  <c r="H642" i="2"/>
  <c r="H641" i="2"/>
  <c r="F641" i="2"/>
  <c r="H639" i="2"/>
  <c r="F639" i="2"/>
  <c r="H638" i="2"/>
  <c r="H637" i="2"/>
  <c r="F637" i="2"/>
  <c r="H635" i="2"/>
  <c r="F635" i="2"/>
  <c r="H634" i="2"/>
  <c r="H633" i="2"/>
  <c r="F633" i="2"/>
  <c r="H631" i="2"/>
  <c r="F631" i="2"/>
  <c r="H630" i="2"/>
  <c r="H629" i="2"/>
  <c r="F629" i="2"/>
  <c r="H627" i="2"/>
  <c r="F627" i="2"/>
  <c r="H626" i="2"/>
  <c r="H625" i="2"/>
  <c r="F625" i="2"/>
  <c r="H623" i="2"/>
  <c r="F623" i="2"/>
  <c r="H622" i="2"/>
  <c r="H621" i="2"/>
  <c r="F621" i="2"/>
  <c r="H619" i="2"/>
  <c r="F619" i="2"/>
  <c r="H618" i="2"/>
  <c r="F618" i="2"/>
  <c r="H617" i="2"/>
  <c r="F617" i="2"/>
  <c r="H616" i="2"/>
  <c r="H615" i="2"/>
  <c r="F615" i="2"/>
  <c r="H614" i="2"/>
  <c r="F614" i="2"/>
  <c r="H613" i="2"/>
  <c r="F613" i="2"/>
  <c r="H611" i="2"/>
  <c r="F611" i="2"/>
  <c r="H610" i="2"/>
  <c r="F610" i="2"/>
  <c r="H609" i="2"/>
  <c r="F609" i="2"/>
  <c r="H607" i="2"/>
  <c r="F607" i="2"/>
  <c r="H606" i="2"/>
  <c r="F606" i="2"/>
  <c r="H605" i="2"/>
  <c r="F605" i="2"/>
  <c r="H603" i="2"/>
  <c r="F603" i="2"/>
  <c r="H602" i="2"/>
  <c r="F602" i="2"/>
  <c r="H601" i="2"/>
  <c r="F601" i="2"/>
  <c r="H599" i="2"/>
  <c r="F599" i="2"/>
  <c r="H598" i="2"/>
  <c r="F598" i="2"/>
  <c r="H597" i="2"/>
  <c r="F597" i="2"/>
  <c r="H595" i="2"/>
  <c r="F595" i="2"/>
  <c r="H594" i="2"/>
  <c r="F594" i="2"/>
  <c r="H593" i="2"/>
  <c r="F593" i="2"/>
  <c r="H591" i="2"/>
  <c r="F591" i="2"/>
  <c r="H590" i="2"/>
  <c r="F590" i="2"/>
  <c r="H589" i="2"/>
  <c r="F589" i="2"/>
  <c r="H587" i="2"/>
  <c r="F587" i="2"/>
  <c r="H586" i="2"/>
  <c r="F586" i="2"/>
  <c r="H585" i="2"/>
  <c r="F585" i="2"/>
  <c r="H583" i="2"/>
  <c r="F583" i="2"/>
  <c r="H582" i="2"/>
  <c r="F582" i="2"/>
  <c r="H581" i="2"/>
  <c r="F581" i="2"/>
  <c r="H579" i="2"/>
  <c r="F579" i="2"/>
  <c r="H578" i="2"/>
  <c r="F578" i="2"/>
  <c r="H577" i="2"/>
  <c r="F577" i="2"/>
  <c r="H575" i="2"/>
  <c r="F575" i="2"/>
  <c r="H574" i="2"/>
  <c r="F574" i="2"/>
  <c r="H573" i="2"/>
  <c r="F573" i="2"/>
  <c r="H571" i="2"/>
  <c r="F571" i="2"/>
  <c r="H570" i="2"/>
  <c r="F570" i="2"/>
  <c r="H569" i="2"/>
  <c r="F569" i="2"/>
  <c r="H567" i="2"/>
  <c r="F567" i="2"/>
  <c r="H566" i="2"/>
  <c r="F566" i="2"/>
  <c r="H565" i="2"/>
  <c r="F565" i="2"/>
  <c r="H563" i="2"/>
  <c r="F563" i="2"/>
  <c r="H562" i="2"/>
  <c r="F562" i="2"/>
  <c r="H561" i="2"/>
  <c r="F561" i="2"/>
  <c r="H559" i="2"/>
  <c r="F559" i="2"/>
  <c r="H558" i="2"/>
  <c r="F558" i="2"/>
  <c r="H557" i="2"/>
  <c r="F557" i="2"/>
  <c r="H555" i="2"/>
  <c r="F555" i="2"/>
  <c r="H554" i="2"/>
  <c r="F554" i="2"/>
  <c r="H553" i="2"/>
  <c r="F553" i="2"/>
  <c r="H552" i="2"/>
  <c r="H551" i="2"/>
  <c r="F551" i="2"/>
  <c r="H550" i="2"/>
  <c r="F550" i="2"/>
  <c r="H549" i="2"/>
  <c r="F549" i="2"/>
  <c r="H547" i="2"/>
  <c r="F547" i="2"/>
  <c r="H546" i="2"/>
  <c r="F546" i="2"/>
  <c r="H545" i="2"/>
  <c r="F545" i="2"/>
  <c r="H543" i="2"/>
  <c r="F543" i="2"/>
  <c r="H542" i="2"/>
  <c r="F542" i="2"/>
  <c r="H541" i="2"/>
  <c r="F541" i="2"/>
  <c r="H539" i="2"/>
  <c r="F539" i="2"/>
  <c r="H538" i="2"/>
  <c r="F538" i="2"/>
  <c r="H537" i="2"/>
  <c r="F537" i="2"/>
  <c r="H535" i="2"/>
  <c r="F535" i="2"/>
  <c r="H534" i="2"/>
  <c r="F534" i="2"/>
  <c r="H533" i="2"/>
  <c r="F533" i="2"/>
  <c r="H531" i="2"/>
  <c r="F531" i="2"/>
  <c r="H530" i="2"/>
  <c r="F530" i="2"/>
  <c r="H529" i="2"/>
  <c r="F529" i="2"/>
  <c r="H527" i="2"/>
  <c r="F527" i="2"/>
  <c r="H526" i="2"/>
  <c r="F526" i="2"/>
  <c r="H525" i="2"/>
  <c r="F525" i="2"/>
  <c r="H523" i="2"/>
  <c r="F523" i="2"/>
  <c r="H522" i="2"/>
  <c r="F522" i="2"/>
  <c r="H521" i="2"/>
  <c r="F521" i="2"/>
  <c r="H519" i="2"/>
  <c r="F519" i="2"/>
  <c r="H518" i="2"/>
  <c r="F518" i="2"/>
  <c r="H517" i="2"/>
  <c r="F517" i="2"/>
  <c r="H515" i="2"/>
  <c r="F515" i="2"/>
  <c r="H514" i="2"/>
  <c r="F514" i="2"/>
  <c r="H513" i="2"/>
  <c r="F513" i="2"/>
  <c r="H511" i="2"/>
  <c r="F511" i="2"/>
  <c r="H510" i="2"/>
  <c r="F510" i="2"/>
  <c r="H509" i="2"/>
  <c r="F509" i="2"/>
  <c r="H507" i="2"/>
  <c r="F507" i="2"/>
  <c r="H506" i="2"/>
  <c r="F506" i="2"/>
  <c r="H505" i="2"/>
  <c r="F505" i="2"/>
  <c r="H503" i="2"/>
  <c r="F503" i="2"/>
  <c r="H502" i="2"/>
  <c r="F502" i="2"/>
  <c r="H501" i="2"/>
  <c r="F501" i="2"/>
  <c r="H499" i="2"/>
  <c r="F499" i="2"/>
  <c r="H498" i="2"/>
  <c r="F498" i="2"/>
  <c r="H497" i="2"/>
  <c r="F497" i="2"/>
  <c r="H495" i="2"/>
  <c r="F495" i="2"/>
  <c r="H494" i="2"/>
  <c r="F494" i="2"/>
  <c r="H493" i="2"/>
  <c r="F493" i="2"/>
  <c r="H491" i="2"/>
  <c r="F491" i="2"/>
  <c r="H490" i="2"/>
  <c r="F490" i="2"/>
  <c r="H489" i="2"/>
  <c r="F489" i="2"/>
  <c r="H488" i="2"/>
  <c r="H487" i="2"/>
  <c r="F487" i="2"/>
  <c r="H486" i="2"/>
  <c r="F486" i="2"/>
  <c r="H485" i="2"/>
  <c r="F485" i="2"/>
  <c r="H483" i="2"/>
  <c r="F483" i="2"/>
  <c r="H482" i="2"/>
  <c r="F482" i="2"/>
  <c r="H481" i="2"/>
  <c r="F481" i="2"/>
  <c r="H479" i="2"/>
  <c r="F479" i="2"/>
  <c r="H478" i="2"/>
  <c r="F478" i="2"/>
  <c r="H477" i="2"/>
  <c r="F477" i="2"/>
  <c r="H475" i="2"/>
  <c r="F475" i="2"/>
  <c r="H474" i="2"/>
  <c r="F474" i="2"/>
  <c r="H473" i="2"/>
  <c r="F473" i="2"/>
  <c r="H471" i="2"/>
  <c r="F471" i="2"/>
  <c r="H470" i="2"/>
  <c r="F470" i="2"/>
  <c r="H469" i="2"/>
  <c r="F469" i="2"/>
  <c r="H467" i="2"/>
  <c r="F467" i="2"/>
  <c r="H466" i="2"/>
  <c r="F466" i="2"/>
  <c r="H465" i="2"/>
  <c r="F465" i="2"/>
  <c r="H463" i="2"/>
  <c r="F463" i="2"/>
  <c r="H462" i="2"/>
  <c r="F462" i="2"/>
  <c r="H461" i="2"/>
  <c r="F461" i="2"/>
  <c r="H459" i="2"/>
  <c r="F459" i="2"/>
  <c r="H458" i="2"/>
  <c r="F458" i="2"/>
  <c r="H457" i="2"/>
  <c r="F457" i="2"/>
  <c r="H455" i="2"/>
  <c r="F455" i="2"/>
  <c r="H454" i="2"/>
  <c r="F454" i="2"/>
  <c r="H453" i="2"/>
  <c r="F453" i="2"/>
  <c r="H451" i="2"/>
  <c r="F451" i="2"/>
  <c r="H450" i="2"/>
  <c r="F450" i="2"/>
  <c r="H449" i="2"/>
  <c r="F449" i="2"/>
  <c r="H447" i="2"/>
  <c r="F447" i="2"/>
  <c r="H446" i="2"/>
  <c r="F446" i="2"/>
  <c r="H445" i="2"/>
  <c r="F445" i="2"/>
  <c r="H443" i="2"/>
  <c r="F443" i="2"/>
  <c r="H442" i="2"/>
  <c r="F442" i="2"/>
  <c r="H441" i="2"/>
  <c r="F441" i="2"/>
  <c r="H439" i="2"/>
  <c r="F439" i="2"/>
  <c r="H438" i="2"/>
  <c r="F438" i="2"/>
  <c r="H437" i="2"/>
  <c r="F437" i="2"/>
  <c r="H435" i="2"/>
  <c r="F435" i="2"/>
  <c r="H434" i="2"/>
  <c r="F434" i="2"/>
  <c r="H433" i="2"/>
  <c r="F433" i="2"/>
  <c r="H431" i="2"/>
  <c r="F431" i="2"/>
  <c r="H430" i="2"/>
  <c r="F430" i="2"/>
  <c r="H429" i="2"/>
  <c r="F429" i="2"/>
  <c r="H427" i="2"/>
  <c r="F427" i="2"/>
  <c r="H426" i="2"/>
  <c r="F426" i="2"/>
  <c r="H425" i="2"/>
  <c r="F425" i="2"/>
  <c r="H424" i="2"/>
  <c r="H423" i="2"/>
  <c r="F423" i="2"/>
  <c r="H422" i="2"/>
  <c r="F422" i="2"/>
  <c r="H421" i="2"/>
  <c r="F421" i="2"/>
  <c r="H419" i="2"/>
  <c r="F419" i="2"/>
  <c r="H418" i="2"/>
  <c r="F418" i="2"/>
  <c r="H417" i="2"/>
  <c r="F417" i="2"/>
  <c r="H415" i="2"/>
  <c r="F415" i="2"/>
  <c r="H414" i="2"/>
  <c r="F414" i="2"/>
  <c r="H413" i="2"/>
  <c r="F413" i="2"/>
  <c r="H411" i="2"/>
  <c r="F411" i="2"/>
  <c r="H410" i="2"/>
  <c r="F410" i="2"/>
  <c r="H409" i="2"/>
  <c r="F409" i="2"/>
  <c r="H407" i="2"/>
  <c r="F407" i="2"/>
  <c r="H406" i="2"/>
  <c r="F406" i="2"/>
  <c r="H405" i="2"/>
  <c r="F405" i="2"/>
  <c r="H403" i="2"/>
  <c r="F403" i="2"/>
  <c r="H402" i="2"/>
  <c r="F402" i="2"/>
  <c r="H401" i="2"/>
  <c r="F401" i="2"/>
  <c r="H399" i="2"/>
  <c r="F399" i="2"/>
  <c r="H398" i="2"/>
  <c r="F398" i="2"/>
  <c r="H397" i="2"/>
  <c r="F397" i="2"/>
  <c r="H395" i="2"/>
  <c r="F395" i="2"/>
  <c r="H394" i="2"/>
  <c r="F394" i="2"/>
  <c r="H393" i="2"/>
  <c r="F393" i="2"/>
  <c r="H391" i="2"/>
  <c r="F391" i="2"/>
  <c r="H390" i="2"/>
  <c r="F390" i="2"/>
  <c r="H389" i="2"/>
  <c r="F389" i="2"/>
  <c r="H387" i="2"/>
  <c r="F387" i="2"/>
  <c r="H386" i="2"/>
  <c r="F386" i="2"/>
  <c r="H385" i="2"/>
  <c r="F385" i="2"/>
  <c r="H383" i="2"/>
  <c r="F383" i="2"/>
  <c r="H382" i="2"/>
  <c r="F382" i="2"/>
  <c r="H381" i="2"/>
  <c r="F381" i="2"/>
  <c r="H379" i="2"/>
  <c r="F379" i="2"/>
  <c r="H378" i="2"/>
  <c r="F378" i="2"/>
  <c r="H377" i="2"/>
  <c r="F377" i="2"/>
  <c r="H375" i="2"/>
  <c r="F375" i="2"/>
  <c r="H374" i="2"/>
  <c r="F374" i="2"/>
  <c r="H373" i="2"/>
  <c r="F373" i="2"/>
  <c r="H371" i="2"/>
  <c r="F371" i="2"/>
  <c r="H370" i="2"/>
  <c r="F370" i="2"/>
  <c r="H369" i="2"/>
  <c r="F369" i="2"/>
  <c r="H367" i="2"/>
  <c r="F367" i="2"/>
  <c r="H366" i="2"/>
  <c r="F366" i="2"/>
  <c r="H365" i="2"/>
  <c r="F365" i="2"/>
  <c r="H363" i="2"/>
  <c r="F363" i="2"/>
  <c r="H362" i="2"/>
  <c r="F362" i="2"/>
  <c r="H361" i="2"/>
  <c r="F361" i="2"/>
  <c r="H360" i="2"/>
  <c r="H359" i="2"/>
  <c r="F359" i="2"/>
  <c r="H358" i="2"/>
  <c r="F358" i="2"/>
  <c r="H357" i="2"/>
  <c r="F357" i="2"/>
  <c r="H355" i="2"/>
  <c r="F355" i="2"/>
  <c r="H354" i="2"/>
  <c r="F354" i="2"/>
  <c r="H353" i="2"/>
  <c r="F353" i="2"/>
  <c r="H351" i="2"/>
  <c r="F351" i="2"/>
  <c r="H350" i="2"/>
  <c r="F350" i="2"/>
  <c r="H349" i="2"/>
  <c r="F349" i="2"/>
  <c r="H347" i="2"/>
  <c r="F347" i="2"/>
  <c r="H346" i="2"/>
  <c r="F346" i="2"/>
  <c r="H345" i="2"/>
  <c r="F345" i="2"/>
  <c r="H343" i="2"/>
  <c r="F343" i="2"/>
  <c r="H342" i="2"/>
  <c r="F342" i="2"/>
  <c r="H341" i="2"/>
  <c r="F341" i="2"/>
  <c r="F340" i="2"/>
  <c r="H339" i="2"/>
  <c r="F339" i="2"/>
  <c r="H338" i="2"/>
  <c r="F338" i="2"/>
  <c r="H337" i="2"/>
  <c r="F337" i="2"/>
  <c r="H335" i="2"/>
  <c r="F335" i="2"/>
  <c r="H334" i="2"/>
  <c r="F334" i="2"/>
  <c r="H333" i="2"/>
  <c r="F333" i="2"/>
  <c r="H331" i="2"/>
  <c r="F331" i="2"/>
  <c r="H330" i="2"/>
  <c r="F330" i="2"/>
  <c r="H329" i="2"/>
  <c r="F329" i="2"/>
  <c r="H327" i="2"/>
  <c r="F327" i="2"/>
  <c r="H326" i="2"/>
  <c r="F326" i="2"/>
  <c r="H325" i="2"/>
  <c r="F325" i="2"/>
  <c r="F324" i="2"/>
  <c r="H323" i="2"/>
  <c r="F323" i="2"/>
  <c r="H322" i="2"/>
  <c r="F322" i="2"/>
  <c r="H321" i="2"/>
  <c r="F321" i="2"/>
  <c r="H319" i="2"/>
  <c r="F319" i="2"/>
  <c r="H318" i="2"/>
  <c r="F318" i="2"/>
  <c r="H317" i="2"/>
  <c r="F317" i="2"/>
  <c r="H315" i="2"/>
  <c r="F315" i="2"/>
  <c r="H314" i="2"/>
  <c r="F314" i="2"/>
  <c r="H313" i="2"/>
  <c r="F313" i="2"/>
  <c r="H311" i="2"/>
  <c r="F311" i="2"/>
  <c r="H310" i="2"/>
  <c r="F310" i="2"/>
  <c r="H309" i="2"/>
  <c r="F309" i="2"/>
  <c r="F308" i="2"/>
  <c r="H307" i="2"/>
  <c r="F307" i="2"/>
  <c r="H306" i="2"/>
  <c r="F306" i="2"/>
  <c r="H305" i="2"/>
  <c r="F305" i="2"/>
  <c r="H303" i="2"/>
  <c r="F303" i="2"/>
  <c r="H302" i="2"/>
  <c r="F302" i="2"/>
  <c r="H301" i="2"/>
  <c r="F301" i="2"/>
  <c r="H299" i="2"/>
  <c r="F299" i="2"/>
  <c r="H298" i="2"/>
  <c r="F298" i="2"/>
  <c r="H297" i="2"/>
  <c r="F297" i="2"/>
  <c r="H295" i="2"/>
  <c r="F295" i="2"/>
  <c r="H294" i="2"/>
  <c r="F294" i="2"/>
  <c r="H293" i="2"/>
  <c r="F293" i="2"/>
  <c r="F292" i="2"/>
  <c r="H291" i="2"/>
  <c r="F291" i="2"/>
  <c r="H290" i="2"/>
  <c r="F290" i="2"/>
  <c r="H289" i="2"/>
  <c r="F289" i="2"/>
  <c r="H287" i="2"/>
  <c r="F287" i="2"/>
  <c r="H286" i="2"/>
  <c r="F286" i="2"/>
  <c r="H285" i="2"/>
  <c r="F285" i="2"/>
  <c r="H283" i="2"/>
  <c r="F283" i="2"/>
  <c r="H282" i="2"/>
  <c r="F282" i="2"/>
  <c r="H281" i="2"/>
  <c r="F281" i="2"/>
  <c r="H279" i="2"/>
  <c r="F279" i="2"/>
  <c r="H278" i="2"/>
  <c r="F278" i="2"/>
  <c r="H277" i="2"/>
  <c r="F277" i="2"/>
  <c r="F276" i="2"/>
  <c r="H275" i="2"/>
  <c r="F275" i="2"/>
  <c r="H274" i="2"/>
  <c r="F274" i="2"/>
  <c r="H273" i="2"/>
  <c r="F273" i="2"/>
  <c r="H271" i="2"/>
  <c r="F271" i="2"/>
  <c r="H270" i="2"/>
  <c r="F270" i="2"/>
  <c r="H269" i="2"/>
  <c r="F269" i="2"/>
  <c r="H267" i="2"/>
  <c r="F267" i="2"/>
  <c r="H266" i="2"/>
  <c r="F266" i="2"/>
  <c r="H265" i="2"/>
  <c r="F265" i="2"/>
  <c r="H263" i="2"/>
  <c r="F263" i="2"/>
  <c r="H262" i="2"/>
  <c r="F262" i="2"/>
  <c r="H261" i="2"/>
  <c r="F261" i="2"/>
  <c r="F260" i="2"/>
  <c r="H259" i="2"/>
  <c r="F259" i="2"/>
  <c r="H258" i="2"/>
  <c r="F258" i="2"/>
  <c r="H257" i="2"/>
  <c r="F257" i="2"/>
  <c r="H255" i="2"/>
  <c r="F255" i="2"/>
  <c r="H254" i="2"/>
  <c r="F254" i="2"/>
  <c r="H253" i="2"/>
  <c r="F253" i="2"/>
  <c r="H251" i="2"/>
  <c r="F251" i="2"/>
  <c r="H250" i="2"/>
  <c r="F250" i="2"/>
  <c r="H249" i="2"/>
  <c r="F249" i="2"/>
  <c r="H247" i="2"/>
  <c r="F247" i="2"/>
  <c r="H246" i="2"/>
  <c r="F246" i="2"/>
  <c r="H245" i="2"/>
  <c r="F245" i="2"/>
  <c r="F244" i="2"/>
  <c r="H243" i="2"/>
  <c r="F243" i="2"/>
  <c r="H242" i="2"/>
  <c r="F242" i="2"/>
  <c r="H241" i="2"/>
  <c r="F241" i="2"/>
  <c r="H239" i="2"/>
  <c r="F239" i="2"/>
  <c r="H238" i="2"/>
  <c r="F238" i="2"/>
  <c r="H237" i="2"/>
  <c r="F237" i="2"/>
  <c r="H235" i="2"/>
  <c r="F235" i="2"/>
  <c r="H234" i="2"/>
  <c r="F234" i="2"/>
  <c r="H233" i="2"/>
  <c r="F233" i="2"/>
  <c r="H231" i="2"/>
  <c r="F231" i="2"/>
  <c r="H230" i="2"/>
  <c r="F230" i="2"/>
  <c r="H229" i="2"/>
  <c r="F229" i="2"/>
  <c r="F228" i="2"/>
  <c r="H227" i="2"/>
  <c r="F227" i="2"/>
  <c r="H226" i="2"/>
  <c r="F226" i="2"/>
  <c r="H225" i="2"/>
  <c r="F225" i="2"/>
  <c r="H223" i="2"/>
  <c r="F223" i="2"/>
  <c r="H222" i="2"/>
  <c r="F222" i="2"/>
  <c r="H221" i="2"/>
  <c r="F221" i="2"/>
  <c r="H219" i="2"/>
  <c r="F219" i="2"/>
  <c r="H218" i="2"/>
  <c r="F218" i="2"/>
  <c r="H217" i="2"/>
  <c r="F217" i="2"/>
  <c r="H215" i="2"/>
  <c r="F215" i="2"/>
  <c r="H214" i="2"/>
  <c r="F214" i="2"/>
  <c r="H213" i="2"/>
  <c r="F213" i="2"/>
  <c r="F212" i="2"/>
  <c r="H211" i="2"/>
  <c r="F211" i="2"/>
  <c r="H210" i="2"/>
  <c r="F210" i="2"/>
  <c r="H209" i="2"/>
  <c r="F209" i="2"/>
  <c r="H207" i="2"/>
  <c r="F207" i="2"/>
  <c r="H206" i="2"/>
  <c r="F206" i="2"/>
  <c r="H205" i="2"/>
  <c r="F205" i="2"/>
  <c r="H203" i="2"/>
  <c r="F203" i="2"/>
  <c r="H202" i="2"/>
  <c r="F202" i="2"/>
  <c r="H201" i="2"/>
  <c r="F201" i="2"/>
  <c r="H199" i="2"/>
  <c r="F199" i="2"/>
  <c r="H198" i="2"/>
  <c r="F198" i="2"/>
  <c r="H197" i="2"/>
  <c r="F197" i="2"/>
  <c r="F196" i="2"/>
  <c r="H195" i="2"/>
  <c r="F195" i="2"/>
  <c r="H194" i="2"/>
  <c r="F194" i="2"/>
  <c r="H193" i="2"/>
  <c r="F193" i="2"/>
  <c r="H191" i="2"/>
  <c r="F191" i="2"/>
  <c r="H190" i="2"/>
  <c r="F190" i="2"/>
  <c r="H189" i="2"/>
  <c r="F189" i="2"/>
  <c r="H187" i="2"/>
  <c r="F187" i="2"/>
  <c r="H186" i="2"/>
  <c r="F186" i="2"/>
  <c r="H185" i="2"/>
  <c r="F185" i="2"/>
  <c r="H183" i="2"/>
  <c r="F183" i="2"/>
  <c r="H182" i="2"/>
  <c r="F182" i="2"/>
  <c r="H181" i="2"/>
  <c r="F181" i="2"/>
  <c r="F180" i="2"/>
  <c r="H179" i="2"/>
  <c r="F179" i="2"/>
  <c r="H178" i="2"/>
  <c r="F178" i="2"/>
  <c r="H177" i="2"/>
  <c r="F177" i="2"/>
  <c r="H175" i="2"/>
  <c r="F175" i="2"/>
  <c r="H174" i="2"/>
  <c r="F174" i="2"/>
  <c r="H173" i="2"/>
  <c r="F173" i="2"/>
  <c r="H171" i="2"/>
  <c r="F171" i="2"/>
  <c r="H170" i="2"/>
  <c r="F170" i="2"/>
  <c r="H169" i="2"/>
  <c r="F169" i="2"/>
  <c r="H167" i="2"/>
  <c r="F167" i="2"/>
  <c r="H166" i="2"/>
  <c r="F166" i="2"/>
  <c r="H165" i="2"/>
  <c r="F165" i="2"/>
  <c r="F164" i="2"/>
  <c r="H163" i="2"/>
  <c r="F163" i="2"/>
  <c r="H162" i="2"/>
  <c r="F162" i="2"/>
  <c r="H161" i="2"/>
  <c r="F161" i="2"/>
  <c r="H159" i="2"/>
  <c r="F159" i="2"/>
  <c r="H158" i="2"/>
  <c r="F158" i="2"/>
  <c r="H157" i="2"/>
  <c r="F157" i="2"/>
  <c r="H155" i="2"/>
  <c r="F155" i="2"/>
  <c r="H154" i="2"/>
  <c r="F154" i="2"/>
  <c r="H153" i="2"/>
  <c r="F153" i="2"/>
  <c r="H151" i="2"/>
  <c r="F151" i="2"/>
  <c r="H150" i="2"/>
  <c r="F150" i="2"/>
  <c r="H149" i="2"/>
  <c r="F149" i="2"/>
  <c r="F148" i="2"/>
  <c r="H147" i="2"/>
  <c r="F147" i="2"/>
  <c r="H146" i="2"/>
  <c r="F146" i="2"/>
  <c r="H145" i="2"/>
  <c r="F145" i="2"/>
  <c r="H143" i="2"/>
  <c r="F143" i="2"/>
  <c r="H142" i="2"/>
  <c r="F142" i="2"/>
  <c r="H141" i="2"/>
  <c r="F141" i="2"/>
  <c r="H139" i="2"/>
  <c r="F139" i="2"/>
  <c r="H138" i="2"/>
  <c r="F138" i="2"/>
  <c r="H137" i="2"/>
  <c r="F137" i="2"/>
  <c r="H135" i="2"/>
  <c r="F135" i="2"/>
  <c r="H134" i="2"/>
  <c r="F134" i="2"/>
  <c r="H133" i="2"/>
  <c r="F133" i="2"/>
  <c r="F132" i="2"/>
  <c r="H131" i="2"/>
  <c r="F131" i="2"/>
  <c r="H130" i="2"/>
  <c r="F130" i="2"/>
  <c r="H129" i="2"/>
  <c r="F129" i="2"/>
  <c r="H127" i="2"/>
  <c r="F127" i="2"/>
  <c r="H126" i="2"/>
  <c r="F126" i="2"/>
  <c r="H125" i="2"/>
  <c r="F125" i="2"/>
  <c r="H123" i="2"/>
  <c r="F123" i="2"/>
  <c r="H122" i="2"/>
  <c r="F122" i="2"/>
  <c r="H121" i="2"/>
  <c r="F121" i="2"/>
  <c r="H119" i="2"/>
  <c r="F119" i="2"/>
  <c r="H118" i="2"/>
  <c r="F118" i="2"/>
  <c r="H117" i="2"/>
  <c r="F117" i="2"/>
  <c r="F116" i="2"/>
  <c r="H115" i="2"/>
  <c r="F115" i="2"/>
  <c r="H114" i="2"/>
  <c r="F114" i="2"/>
  <c r="H113" i="2"/>
  <c r="F113" i="2"/>
  <c r="H111" i="2"/>
  <c r="F111" i="2"/>
  <c r="H110" i="2"/>
  <c r="F110" i="2"/>
  <c r="H109" i="2"/>
  <c r="F109" i="2"/>
  <c r="H107" i="2"/>
  <c r="F107" i="2"/>
  <c r="H106" i="2"/>
  <c r="F106" i="2"/>
  <c r="H105" i="2"/>
  <c r="F105" i="2"/>
  <c r="H103" i="2"/>
  <c r="F103" i="2"/>
  <c r="H102" i="2"/>
  <c r="F102" i="2"/>
  <c r="H101" i="2"/>
  <c r="F101" i="2"/>
  <c r="F100" i="2"/>
  <c r="H99" i="2"/>
  <c r="F99" i="2"/>
  <c r="H98" i="2"/>
  <c r="F98" i="2"/>
  <c r="H97" i="2"/>
  <c r="F97" i="2"/>
  <c r="H95" i="2"/>
  <c r="F95" i="2"/>
  <c r="H94" i="2"/>
  <c r="F94" i="2"/>
  <c r="H93" i="2"/>
  <c r="F93" i="2"/>
  <c r="H91" i="2"/>
  <c r="F91" i="2"/>
  <c r="H90" i="2"/>
  <c r="F90" i="2"/>
  <c r="H89" i="2"/>
  <c r="F89" i="2"/>
  <c r="H87" i="2"/>
  <c r="F87" i="2"/>
  <c r="H86" i="2"/>
  <c r="F86" i="2"/>
  <c r="H85" i="2"/>
  <c r="F85" i="2"/>
  <c r="H84" i="2"/>
  <c r="H83" i="2"/>
  <c r="F83" i="2"/>
  <c r="H82" i="2"/>
  <c r="F82" i="2"/>
  <c r="H81" i="2"/>
  <c r="F81" i="2"/>
  <c r="H80" i="2"/>
  <c r="H79" i="2"/>
  <c r="F79" i="2"/>
  <c r="H78" i="2"/>
  <c r="F78" i="2"/>
  <c r="H77" i="2"/>
  <c r="F77" i="2"/>
  <c r="H76" i="2"/>
  <c r="H75" i="2"/>
  <c r="F75" i="2"/>
  <c r="H74" i="2"/>
  <c r="F74" i="2"/>
  <c r="H73" i="2"/>
  <c r="F73" i="2"/>
  <c r="H72" i="2"/>
  <c r="H71" i="2"/>
  <c r="F71" i="2"/>
  <c r="H70" i="2"/>
  <c r="F70" i="2"/>
  <c r="H69" i="2"/>
  <c r="F69" i="2"/>
  <c r="H68" i="2"/>
  <c r="H67" i="2"/>
  <c r="F67" i="2"/>
  <c r="H66" i="2"/>
  <c r="F66" i="2"/>
  <c r="H65" i="2"/>
  <c r="F65" i="2"/>
  <c r="H64" i="2"/>
  <c r="H63" i="2"/>
  <c r="F63" i="2"/>
  <c r="H62" i="2"/>
  <c r="F62" i="2"/>
  <c r="H61" i="2"/>
  <c r="F61" i="2"/>
  <c r="H60" i="2"/>
  <c r="H59" i="2"/>
  <c r="F59" i="2"/>
  <c r="H58" i="2"/>
  <c r="F58" i="2"/>
  <c r="H57" i="2"/>
  <c r="F57" i="2"/>
  <c r="H56" i="2"/>
  <c r="H55" i="2"/>
  <c r="F55" i="2"/>
  <c r="H54" i="2"/>
  <c r="F54" i="2"/>
  <c r="H53" i="2"/>
  <c r="F53" i="2"/>
  <c r="H52" i="2"/>
  <c r="H51" i="2"/>
  <c r="F51" i="2"/>
  <c r="H50" i="2"/>
  <c r="F50" i="2"/>
  <c r="H49" i="2"/>
  <c r="F49" i="2"/>
  <c r="H48" i="2"/>
  <c r="H47" i="2"/>
  <c r="F47" i="2"/>
  <c r="H46" i="2"/>
  <c r="F46" i="2"/>
  <c r="H45" i="2"/>
  <c r="F45" i="2"/>
  <c r="H44" i="2"/>
  <c r="H43" i="2"/>
  <c r="F43" i="2"/>
  <c r="H42" i="2"/>
  <c r="F42" i="2"/>
  <c r="H41" i="2"/>
  <c r="F41" i="2"/>
  <c r="H40" i="2"/>
  <c r="H39" i="2"/>
  <c r="F39" i="2"/>
  <c r="H38" i="2"/>
  <c r="F38" i="2"/>
  <c r="H37" i="2"/>
  <c r="F37" i="2"/>
  <c r="H36" i="2"/>
  <c r="H35" i="2"/>
  <c r="F35" i="2"/>
  <c r="H34" i="2"/>
  <c r="F34" i="2"/>
  <c r="H33" i="2"/>
  <c r="F33" i="2"/>
  <c r="H32" i="2"/>
  <c r="H31" i="2"/>
  <c r="F31" i="2"/>
  <c r="H30" i="2"/>
  <c r="F30" i="2"/>
  <c r="H29" i="2"/>
  <c r="F29" i="2"/>
  <c r="H28" i="2"/>
  <c r="H27" i="2"/>
  <c r="F27" i="2"/>
  <c r="H26" i="2"/>
  <c r="F26" i="2"/>
  <c r="H25" i="2"/>
  <c r="F25" i="2"/>
  <c r="H24" i="2"/>
  <c r="H23" i="2"/>
  <c r="F23" i="2"/>
  <c r="H22" i="2"/>
  <c r="F22" i="2"/>
  <c r="H21" i="2"/>
  <c r="F21" i="2"/>
  <c r="H20" i="2"/>
  <c r="H19" i="2"/>
  <c r="F19" i="2"/>
  <c r="H18" i="2"/>
  <c r="F18" i="2"/>
  <c r="H17" i="2"/>
  <c r="F17" i="2"/>
  <c r="H16" i="2"/>
  <c r="H15" i="2"/>
  <c r="F15" i="2"/>
  <c r="H14" i="2"/>
  <c r="F14" i="2"/>
  <c r="H13" i="2"/>
  <c r="F13" i="2"/>
  <c r="H12" i="2"/>
  <c r="H11" i="2"/>
  <c r="F11" i="2"/>
  <c r="H10" i="2"/>
  <c r="F10" i="2"/>
  <c r="H9" i="2"/>
  <c r="F9" i="2"/>
  <c r="H8" i="2"/>
  <c r="H7" i="2"/>
  <c r="F7" i="2"/>
  <c r="H6" i="2"/>
  <c r="F6" i="2"/>
  <c r="H5" i="2"/>
  <c r="F5" i="2"/>
  <c r="H4" i="2"/>
  <c r="F4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N41" i="4" l="1"/>
  <c r="C48" i="4" s="1"/>
  <c r="C51" i="4"/>
  <c r="P42" i="4"/>
  <c r="P43" i="4" s="1"/>
  <c r="F644" i="2"/>
  <c r="H644" i="2"/>
  <c r="F632" i="2"/>
  <c r="H632" i="2"/>
  <c r="F628" i="2"/>
  <c r="H628" i="2"/>
  <c r="F620" i="2"/>
  <c r="H620" i="2"/>
  <c r="F612" i="2"/>
  <c r="H612" i="2"/>
  <c r="F604" i="2"/>
  <c r="H604" i="2"/>
  <c r="F596" i="2"/>
  <c r="H596" i="2"/>
  <c r="F588" i="2"/>
  <c r="H588" i="2"/>
  <c r="F576" i="2"/>
  <c r="H576" i="2"/>
  <c r="F572" i="2"/>
  <c r="H572" i="2"/>
  <c r="F564" i="2"/>
  <c r="H564" i="2"/>
  <c r="F556" i="2"/>
  <c r="H556" i="2"/>
  <c r="F528" i="2"/>
  <c r="H528" i="2"/>
  <c r="F500" i="2"/>
  <c r="H500" i="2"/>
  <c r="F492" i="2"/>
  <c r="H492" i="2"/>
  <c r="F480" i="2"/>
  <c r="H480" i="2"/>
  <c r="F448" i="2"/>
  <c r="H448" i="2"/>
  <c r="F444" i="2"/>
  <c r="H444" i="2"/>
  <c r="F436" i="2"/>
  <c r="H436" i="2"/>
  <c r="F428" i="2"/>
  <c r="H428" i="2"/>
  <c r="F400" i="2"/>
  <c r="H400" i="2"/>
  <c r="F352" i="2"/>
  <c r="H352" i="2"/>
  <c r="F348" i="2"/>
  <c r="H348" i="2"/>
  <c r="F96" i="2"/>
  <c r="F112" i="2"/>
  <c r="F128" i="2"/>
  <c r="F144" i="2"/>
  <c r="F160" i="2"/>
  <c r="F176" i="2"/>
  <c r="F192" i="2"/>
  <c r="F208" i="2"/>
  <c r="F224" i="2"/>
  <c r="F240" i="2"/>
  <c r="F256" i="2"/>
  <c r="F272" i="2"/>
  <c r="F288" i="2"/>
  <c r="F304" i="2"/>
  <c r="F320" i="2"/>
  <c r="F336" i="2"/>
  <c r="H376" i="2"/>
  <c r="H440" i="2"/>
  <c r="H504" i="2"/>
  <c r="H568" i="2"/>
  <c r="F648" i="2"/>
  <c r="H648" i="2"/>
  <c r="F636" i="2"/>
  <c r="H636" i="2"/>
  <c r="F624" i="2"/>
  <c r="H624" i="2"/>
  <c r="F592" i="2"/>
  <c r="H592" i="2"/>
  <c r="F580" i="2"/>
  <c r="H580" i="2"/>
  <c r="F540" i="2"/>
  <c r="H540" i="2"/>
  <c r="F532" i="2"/>
  <c r="H532" i="2"/>
  <c r="F524" i="2"/>
  <c r="H524" i="2"/>
  <c r="F516" i="2"/>
  <c r="H516" i="2"/>
  <c r="F508" i="2"/>
  <c r="H508" i="2"/>
  <c r="F496" i="2"/>
  <c r="H496" i="2"/>
  <c r="F464" i="2"/>
  <c r="H464" i="2"/>
  <c r="F452" i="2"/>
  <c r="H452" i="2"/>
  <c r="F416" i="2"/>
  <c r="H416" i="2"/>
  <c r="F404" i="2"/>
  <c r="H404" i="2"/>
  <c r="F396" i="2"/>
  <c r="H396" i="2"/>
  <c r="F388" i="2"/>
  <c r="H388" i="2"/>
  <c r="F380" i="2"/>
  <c r="H380" i="2"/>
  <c r="F368" i="2"/>
  <c r="H368" i="2"/>
  <c r="F356" i="2"/>
  <c r="H356" i="2"/>
  <c r="F92" i="2"/>
  <c r="F108" i="2"/>
  <c r="F124" i="2"/>
  <c r="F140" i="2"/>
  <c r="F156" i="2"/>
  <c r="F172" i="2"/>
  <c r="F188" i="2"/>
  <c r="F204" i="2"/>
  <c r="F220" i="2"/>
  <c r="F236" i="2"/>
  <c r="F252" i="2"/>
  <c r="F268" i="2"/>
  <c r="F284" i="2"/>
  <c r="F300" i="2"/>
  <c r="F316" i="2"/>
  <c r="F332" i="2"/>
  <c r="H392" i="2"/>
  <c r="H456" i="2"/>
  <c r="H520" i="2"/>
  <c r="H584" i="2"/>
  <c r="F640" i="2"/>
  <c r="H640" i="2"/>
  <c r="F608" i="2"/>
  <c r="H608" i="2"/>
  <c r="F560" i="2"/>
  <c r="H560" i="2"/>
  <c r="F548" i="2"/>
  <c r="H548" i="2"/>
  <c r="F544" i="2"/>
  <c r="H544" i="2"/>
  <c r="F512" i="2"/>
  <c r="H512" i="2"/>
  <c r="F484" i="2"/>
  <c r="H484" i="2"/>
  <c r="F476" i="2"/>
  <c r="H476" i="2"/>
  <c r="F468" i="2"/>
  <c r="H468" i="2"/>
  <c r="F460" i="2"/>
  <c r="H460" i="2"/>
  <c r="F432" i="2"/>
  <c r="H432" i="2"/>
  <c r="F420" i="2"/>
  <c r="H420" i="2"/>
  <c r="F412" i="2"/>
  <c r="H412" i="2"/>
  <c r="F384" i="2"/>
  <c r="H384" i="2"/>
  <c r="F372" i="2"/>
  <c r="H372" i="2"/>
  <c r="F364" i="2"/>
  <c r="H364" i="2"/>
  <c r="F88" i="2"/>
  <c r="F104" i="2"/>
  <c r="F120" i="2"/>
  <c r="F136" i="2"/>
  <c r="F152" i="2"/>
  <c r="F168" i="2"/>
  <c r="F184" i="2"/>
  <c r="F200" i="2"/>
  <c r="F216" i="2"/>
  <c r="F232" i="2"/>
  <c r="F248" i="2"/>
  <c r="F264" i="2"/>
  <c r="F280" i="2"/>
  <c r="F296" i="2"/>
  <c r="F312" i="2"/>
  <c r="F328" i="2"/>
  <c r="H344" i="2"/>
  <c r="H408" i="2"/>
  <c r="H472" i="2"/>
  <c r="H536" i="2"/>
  <c r="H6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863380-6014-4F0B-A654-8B37F2D13226}" name="Query - Qry SalesData" description="Connection to the 'Qry SalesData' query in the workbook." type="100" refreshedVersion="8" minRefreshableVersion="5">
    <extLst>
      <ext xmlns:x15="http://schemas.microsoft.com/office/spreadsheetml/2010/11/main" uri="{DE250136-89BD-433C-8126-D09CA5730AF9}">
        <x15:connection id="891b8825-7d01-454a-8089-0e3e3ceb5f12"/>
      </ext>
    </extLst>
  </connection>
  <connection id="2" xr16:uid="{CB73958B-B03F-4C42-9B23-23908917C2C6}" keepAlive="1" name="Query - Tbl_2020" description="Connection to the 'Tbl_2020' query in the workbook." type="5" refreshedVersion="0" background="1">
    <dbPr connection="Provider=Microsoft.Mashup.OleDb.1;Data Source=$Workbook$;Location=Tbl_2020;Extended Properties=&quot;&quot;" command="SELECT * FROM [Tbl_2020]"/>
  </connection>
  <connection id="3" xr16:uid="{0FED3E58-F3A9-4CF7-B735-388BBDD9CC32}" keepAlive="1" name="Query - Tbl_2021" description="Connection to the 'Tbl_2021' query in the workbook." type="5" refreshedVersion="6" background="1">
    <dbPr connection="Provider=Microsoft.Mashup.OleDb.1;Data Source=$Workbook$;Location=Tbl_2021;Extended Properties=&quot;&quot;" command="SELECT * FROM [Tbl_2021]"/>
  </connection>
  <connection id="4" xr16:uid="{5AF4B056-53C3-4175-9BE8-52A9952118B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<sst xmlns="http://schemas.openxmlformats.org/spreadsheetml/2006/main" count="3967" uniqueCount="1239">
  <si>
    <t>Account No</t>
  </si>
  <si>
    <t>Customer Name</t>
  </si>
  <si>
    <t>Category</t>
  </si>
  <si>
    <t>000011826</t>
  </si>
  <si>
    <t>Gov</t>
  </si>
  <si>
    <t>000120437</t>
  </si>
  <si>
    <t>Educational</t>
  </si>
  <si>
    <t>000121385</t>
  </si>
  <si>
    <t>Food Processing</t>
  </si>
  <si>
    <t>000123018</t>
  </si>
  <si>
    <t>Hotels &amp; Resorts</t>
  </si>
  <si>
    <t>000123370</t>
  </si>
  <si>
    <t>Residential</t>
  </si>
  <si>
    <t>000124348</t>
  </si>
  <si>
    <t>Commercial</t>
  </si>
  <si>
    <t>000126437</t>
  </si>
  <si>
    <t>Legal</t>
  </si>
  <si>
    <t>000130348</t>
  </si>
  <si>
    <t>000130464</t>
  </si>
  <si>
    <t>000131016</t>
  </si>
  <si>
    <t>000132328</t>
  </si>
  <si>
    <t>000132417</t>
  </si>
  <si>
    <t>000132678</t>
  </si>
  <si>
    <t>000133562</t>
  </si>
  <si>
    <t>000134478</t>
  </si>
  <si>
    <t>000135124</t>
  </si>
  <si>
    <t>000135297</t>
  </si>
  <si>
    <t>000136998</t>
  </si>
  <si>
    <t>000137123</t>
  </si>
  <si>
    <t>000137670</t>
  </si>
  <si>
    <t>000137830</t>
  </si>
  <si>
    <t>000138191</t>
  </si>
  <si>
    <t>000138569</t>
  </si>
  <si>
    <t>000138846</t>
  </si>
  <si>
    <t>000140001</t>
  </si>
  <si>
    <t>000140158</t>
  </si>
  <si>
    <t>000140277</t>
  </si>
  <si>
    <t>000140393</t>
  </si>
  <si>
    <t>000140426</t>
  </si>
  <si>
    <t>000140979</t>
  </si>
  <si>
    <t>000141460</t>
  </si>
  <si>
    <t>100000005</t>
  </si>
  <si>
    <t>100000006</t>
  </si>
  <si>
    <t>100000012</t>
  </si>
  <si>
    <t>100000015</t>
  </si>
  <si>
    <t>100000016</t>
  </si>
  <si>
    <t>100000018</t>
  </si>
  <si>
    <t>100000019</t>
  </si>
  <si>
    <t>100000025</t>
  </si>
  <si>
    <t>100000028</t>
  </si>
  <si>
    <t>100000031</t>
  </si>
  <si>
    <t>100000035</t>
  </si>
  <si>
    <t>100000043</t>
  </si>
  <si>
    <t>100000044</t>
  </si>
  <si>
    <t>100000045</t>
  </si>
  <si>
    <t>100000046</t>
  </si>
  <si>
    <t>100000048</t>
  </si>
  <si>
    <t>100000054</t>
  </si>
  <si>
    <t>100000056</t>
  </si>
  <si>
    <t>100000062</t>
  </si>
  <si>
    <t>100000064</t>
  </si>
  <si>
    <t>100000066</t>
  </si>
  <si>
    <t>100000067</t>
  </si>
  <si>
    <t>100000068</t>
  </si>
  <si>
    <t>100000076</t>
  </si>
  <si>
    <t>100000084</t>
  </si>
  <si>
    <t>100000105</t>
  </si>
  <si>
    <t>100000139</t>
  </si>
  <si>
    <t>100000140</t>
  </si>
  <si>
    <t>100000147</t>
  </si>
  <si>
    <t>100000165</t>
  </si>
  <si>
    <t>100000184</t>
  </si>
  <si>
    <t>100000192</t>
  </si>
  <si>
    <t>100000210</t>
  </si>
  <si>
    <t>100000229</t>
  </si>
  <si>
    <t>100000257</t>
  </si>
  <si>
    <t>100000266</t>
  </si>
  <si>
    <t>CBRE</t>
  </si>
  <si>
    <t>100000268</t>
  </si>
  <si>
    <t>100000296</t>
  </si>
  <si>
    <t>100000326</t>
  </si>
  <si>
    <t>100000413</t>
  </si>
  <si>
    <t>100000451</t>
  </si>
  <si>
    <t>100000468</t>
  </si>
  <si>
    <t>100000484</t>
  </si>
  <si>
    <t>100000548</t>
  </si>
  <si>
    <t>100000566</t>
  </si>
  <si>
    <t>100000672</t>
  </si>
  <si>
    <t>100000715</t>
  </si>
  <si>
    <t>100000867</t>
  </si>
  <si>
    <t>100000883</t>
  </si>
  <si>
    <t>100000897</t>
  </si>
  <si>
    <t>100000936</t>
  </si>
  <si>
    <t>100001026</t>
  </si>
  <si>
    <t>100001070</t>
  </si>
  <si>
    <t>100001085</t>
  </si>
  <si>
    <t>100001105</t>
  </si>
  <si>
    <t>100001131</t>
  </si>
  <si>
    <t>100001149</t>
  </si>
  <si>
    <t>100001155</t>
  </si>
  <si>
    <t>100001201</t>
  </si>
  <si>
    <t>100001265</t>
  </si>
  <si>
    <t>100001308</t>
  </si>
  <si>
    <t>100001315</t>
  </si>
  <si>
    <t>100001423</t>
  </si>
  <si>
    <t>100001429</t>
  </si>
  <si>
    <t>100001432</t>
  </si>
  <si>
    <t>100001458</t>
  </si>
  <si>
    <t>100001474</t>
  </si>
  <si>
    <t>100001498</t>
  </si>
  <si>
    <t>100001512</t>
  </si>
  <si>
    <t>100001519</t>
  </si>
  <si>
    <t>100001527</t>
  </si>
  <si>
    <t>100001614</t>
  </si>
  <si>
    <t>100001659</t>
  </si>
  <si>
    <t>ADCP</t>
  </si>
  <si>
    <t>100001671</t>
  </si>
  <si>
    <t>100001672</t>
  </si>
  <si>
    <t>100001677</t>
  </si>
  <si>
    <t>Serco</t>
  </si>
  <si>
    <t>100001711</t>
  </si>
  <si>
    <t>100001767</t>
  </si>
  <si>
    <t>100001786</t>
  </si>
  <si>
    <t>100001820</t>
  </si>
  <si>
    <t>100001830</t>
  </si>
  <si>
    <t>100001842</t>
  </si>
  <si>
    <t>100001864</t>
  </si>
  <si>
    <t>100001892</t>
  </si>
  <si>
    <t>100001902</t>
  </si>
  <si>
    <t>100001907</t>
  </si>
  <si>
    <t>100001921</t>
  </si>
  <si>
    <t>100002036</t>
  </si>
  <si>
    <t>100002054</t>
  </si>
  <si>
    <t>100002114</t>
  </si>
  <si>
    <t>100002148</t>
  </si>
  <si>
    <t>100002174</t>
  </si>
  <si>
    <t>100002215</t>
  </si>
  <si>
    <t>100002229</t>
  </si>
  <si>
    <t>100002270</t>
  </si>
  <si>
    <t>100002330</t>
  </si>
  <si>
    <t>100002352</t>
  </si>
  <si>
    <t>100002362</t>
  </si>
  <si>
    <t>100002393</t>
  </si>
  <si>
    <t>100002494</t>
  </si>
  <si>
    <t>100002508</t>
  </si>
  <si>
    <t>100002519</t>
  </si>
  <si>
    <t>100002541</t>
  </si>
  <si>
    <t>100002544</t>
  </si>
  <si>
    <t>100002547</t>
  </si>
  <si>
    <t>100002601</t>
  </si>
  <si>
    <t>100002614</t>
  </si>
  <si>
    <t>100002680</t>
  </si>
  <si>
    <t>100002697</t>
  </si>
  <si>
    <t>100002746</t>
  </si>
  <si>
    <t>100002756</t>
  </si>
  <si>
    <t>100002790</t>
  </si>
  <si>
    <t>100002796</t>
  </si>
  <si>
    <t>100002873</t>
  </si>
  <si>
    <t>100002935</t>
  </si>
  <si>
    <t>100002999</t>
  </si>
  <si>
    <t>100003055</t>
  </si>
  <si>
    <t>100003077</t>
  </si>
  <si>
    <t>100003095</t>
  </si>
  <si>
    <t>100003105</t>
  </si>
  <si>
    <t>100003123</t>
  </si>
  <si>
    <t>100003140</t>
  </si>
  <si>
    <t>100003161</t>
  </si>
  <si>
    <t>100003164</t>
  </si>
  <si>
    <t>100003241</t>
  </si>
  <si>
    <t>100003263</t>
  </si>
  <si>
    <t>100003302</t>
  </si>
  <si>
    <t>100003313</t>
  </si>
  <si>
    <t>100003339</t>
  </si>
  <si>
    <t>100003367</t>
  </si>
  <si>
    <t>100003373</t>
  </si>
  <si>
    <t>100003378</t>
  </si>
  <si>
    <t>100003483</t>
  </si>
  <si>
    <t>100003490</t>
  </si>
  <si>
    <t>100003538</t>
  </si>
  <si>
    <t>100003547</t>
  </si>
  <si>
    <t>100003593</t>
  </si>
  <si>
    <t>100003664</t>
  </si>
  <si>
    <t>100003669</t>
  </si>
  <si>
    <t>100003814</t>
  </si>
  <si>
    <t>100003854</t>
  </si>
  <si>
    <t>100003884</t>
  </si>
  <si>
    <t>100003912</t>
  </si>
  <si>
    <t>100003934</t>
  </si>
  <si>
    <t>100003945</t>
  </si>
  <si>
    <t>100003948</t>
  </si>
  <si>
    <t>100003953</t>
  </si>
  <si>
    <t>100003966</t>
  </si>
  <si>
    <t>100004005</t>
  </si>
  <si>
    <t>100004007</t>
  </si>
  <si>
    <t>100004011</t>
  </si>
  <si>
    <t>100004016</t>
  </si>
  <si>
    <t>100004023</t>
  </si>
  <si>
    <t>100004025</t>
  </si>
  <si>
    <t>100004052</t>
  </si>
  <si>
    <t>100004057</t>
  </si>
  <si>
    <t>100004068</t>
  </si>
  <si>
    <t>100004072</t>
  </si>
  <si>
    <t>100004112</t>
  </si>
  <si>
    <t>100004132</t>
  </si>
  <si>
    <t>100004144</t>
  </si>
  <si>
    <t>100004159</t>
  </si>
  <si>
    <t>100004188</t>
  </si>
  <si>
    <t>Ullas</t>
  </si>
  <si>
    <t>100004190</t>
  </si>
  <si>
    <t>100004196</t>
  </si>
  <si>
    <t>100004197</t>
  </si>
  <si>
    <t>100004200</t>
  </si>
  <si>
    <t>100004227</t>
  </si>
  <si>
    <t>100004240</t>
  </si>
  <si>
    <t>100004259</t>
  </si>
  <si>
    <t>100004312</t>
  </si>
  <si>
    <t>100004328</t>
  </si>
  <si>
    <t>100004348</t>
  </si>
  <si>
    <t>100004354</t>
  </si>
  <si>
    <t>100004376</t>
  </si>
  <si>
    <t>100004429</t>
  </si>
  <si>
    <t>100004430</t>
  </si>
  <si>
    <t>100004435</t>
  </si>
  <si>
    <t>100004443</t>
  </si>
  <si>
    <t>100004466</t>
  </si>
  <si>
    <t>100004474</t>
  </si>
  <si>
    <t>100004485</t>
  </si>
  <si>
    <t>100004523</t>
  </si>
  <si>
    <t>100004525</t>
  </si>
  <si>
    <t>100004526</t>
  </si>
  <si>
    <t>100004540</t>
  </si>
  <si>
    <t>100004553</t>
  </si>
  <si>
    <t>100004555</t>
  </si>
  <si>
    <t>100004576</t>
  </si>
  <si>
    <t>100004602</t>
  </si>
  <si>
    <t>100004605</t>
  </si>
  <si>
    <t>100004651</t>
  </si>
  <si>
    <t>100004657</t>
  </si>
  <si>
    <t>100004660</t>
  </si>
  <si>
    <t>100004724</t>
  </si>
  <si>
    <t>100004729</t>
  </si>
  <si>
    <t>100004789</t>
  </si>
  <si>
    <t>100004834</t>
  </si>
  <si>
    <t>100004837</t>
  </si>
  <si>
    <t>100004838</t>
  </si>
  <si>
    <t>100004844</t>
  </si>
  <si>
    <t>100004947</t>
  </si>
  <si>
    <t>100004988</t>
  </si>
  <si>
    <t>100005004</t>
  </si>
  <si>
    <t>100005007</t>
  </si>
  <si>
    <t>100005025</t>
  </si>
  <si>
    <t>100005040</t>
  </si>
  <si>
    <t>100005041</t>
  </si>
  <si>
    <t>100005066</t>
  </si>
  <si>
    <t>100005100</t>
  </si>
  <si>
    <t>100005115</t>
  </si>
  <si>
    <t>100005123</t>
  </si>
  <si>
    <t>100005133</t>
  </si>
  <si>
    <t>100005149</t>
  </si>
  <si>
    <t>100005192</t>
  </si>
  <si>
    <t>100005193</t>
  </si>
  <si>
    <t>100005210</t>
  </si>
  <si>
    <t>100005216</t>
  </si>
  <si>
    <t>100005230</t>
  </si>
  <si>
    <t>100005275</t>
  </si>
  <si>
    <t>100005285</t>
  </si>
  <si>
    <t>100005295</t>
  </si>
  <si>
    <t>FLC</t>
  </si>
  <si>
    <t>100005325</t>
  </si>
  <si>
    <t>100005371</t>
  </si>
  <si>
    <t>100005415</t>
  </si>
  <si>
    <t>100005425</t>
  </si>
  <si>
    <t>100005442</t>
  </si>
  <si>
    <t>100005465</t>
  </si>
  <si>
    <t>100005478</t>
  </si>
  <si>
    <t>100005480</t>
  </si>
  <si>
    <t>100005493</t>
  </si>
  <si>
    <t>100005497</t>
  </si>
  <si>
    <t>100005543</t>
  </si>
  <si>
    <t>100005594</t>
  </si>
  <si>
    <t>100005640</t>
  </si>
  <si>
    <t>100005645</t>
  </si>
  <si>
    <t>100005656</t>
  </si>
  <si>
    <t>100005708</t>
  </si>
  <si>
    <t>100005728</t>
  </si>
  <si>
    <t>100005740</t>
  </si>
  <si>
    <t>100005759</t>
  </si>
  <si>
    <t>100005786</t>
  </si>
  <si>
    <t>100005811</t>
  </si>
  <si>
    <t>100005815</t>
  </si>
  <si>
    <t>100005831</t>
  </si>
  <si>
    <t>100005837</t>
  </si>
  <si>
    <t>100005844</t>
  </si>
  <si>
    <t>100005866</t>
  </si>
  <si>
    <t>100005892</t>
  </si>
  <si>
    <t>100005893</t>
  </si>
  <si>
    <t>100005916</t>
  </si>
  <si>
    <t>100005927</t>
  </si>
  <si>
    <t>100005929</t>
  </si>
  <si>
    <t>100005940</t>
  </si>
  <si>
    <t>100005969</t>
  </si>
  <si>
    <t>100005982</t>
  </si>
  <si>
    <t>100005989</t>
  </si>
  <si>
    <t>100006016</t>
  </si>
  <si>
    <t>100006023</t>
  </si>
  <si>
    <t>100006029</t>
  </si>
  <si>
    <t>100006034</t>
  </si>
  <si>
    <t>100006046</t>
  </si>
  <si>
    <t>100006068</t>
  </si>
  <si>
    <t>100006096</t>
  </si>
  <si>
    <t>100006106</t>
  </si>
  <si>
    <t>100006138</t>
  </si>
  <si>
    <t>100006143</t>
  </si>
  <si>
    <t>100006165</t>
  </si>
  <si>
    <t>100006170</t>
  </si>
  <si>
    <t>100006175</t>
  </si>
  <si>
    <t>100006178</t>
  </si>
  <si>
    <t>100006193</t>
  </si>
  <si>
    <t>100006204</t>
  </si>
  <si>
    <t>100006209</t>
  </si>
  <si>
    <t>100006216</t>
  </si>
  <si>
    <t>100006220</t>
  </si>
  <si>
    <t>100006237</t>
  </si>
  <si>
    <t>100006266</t>
  </si>
  <si>
    <t>100006274</t>
  </si>
  <si>
    <t>100006308</t>
  </si>
  <si>
    <t>100006309</t>
  </si>
  <si>
    <t>100006320</t>
  </si>
  <si>
    <t>100006322</t>
  </si>
  <si>
    <t>100006343</t>
  </si>
  <si>
    <t>100006361</t>
  </si>
  <si>
    <t>100006364</t>
  </si>
  <si>
    <t>100006397</t>
  </si>
  <si>
    <t>100006398</t>
  </si>
  <si>
    <t>100006400</t>
  </si>
  <si>
    <t>100006404</t>
  </si>
  <si>
    <t>100006415</t>
  </si>
  <si>
    <t>100006426</t>
  </si>
  <si>
    <t>100006432</t>
  </si>
  <si>
    <t>100006465</t>
  </si>
  <si>
    <t>100006476</t>
  </si>
  <si>
    <t>100006489</t>
  </si>
  <si>
    <t>100006518</t>
  </si>
  <si>
    <t>100006524</t>
  </si>
  <si>
    <t>100006537</t>
  </si>
  <si>
    <t>100006538</t>
  </si>
  <si>
    <t>100006539</t>
  </si>
  <si>
    <t>100006546</t>
  </si>
  <si>
    <t>100006564</t>
  </si>
  <si>
    <t>100006566</t>
  </si>
  <si>
    <t>100006589</t>
  </si>
  <si>
    <t>100006597</t>
  </si>
  <si>
    <t>100006602</t>
  </si>
  <si>
    <t>100006608</t>
  </si>
  <si>
    <t>100006610</t>
  </si>
  <si>
    <t>100006653</t>
  </si>
  <si>
    <t>100006656</t>
  </si>
  <si>
    <t>100006681</t>
  </si>
  <si>
    <t>100006709</t>
  </si>
  <si>
    <t>100006802</t>
  </si>
  <si>
    <t>100006808</t>
  </si>
  <si>
    <t>100006813</t>
  </si>
  <si>
    <t>100006864</t>
  </si>
  <si>
    <t>100006881</t>
  </si>
  <si>
    <t>100006882</t>
  </si>
  <si>
    <t>100006892</t>
  </si>
  <si>
    <t>100006982</t>
  </si>
  <si>
    <t>100006995</t>
  </si>
  <si>
    <t>100007053</t>
  </si>
  <si>
    <t>100007061</t>
  </si>
  <si>
    <t>100007075</t>
  </si>
  <si>
    <t>100008548</t>
  </si>
  <si>
    <t>100008784</t>
  </si>
  <si>
    <t>100008804</t>
  </si>
  <si>
    <t>100008805</t>
  </si>
  <si>
    <t>100008820</t>
  </si>
  <si>
    <t>100008847</t>
  </si>
  <si>
    <t>100008855</t>
  </si>
  <si>
    <t>100008938</t>
  </si>
  <si>
    <t>100008945</t>
  </si>
  <si>
    <t>100008984</t>
  </si>
  <si>
    <t>100008987</t>
  </si>
  <si>
    <t>100009008</t>
  </si>
  <si>
    <t>100009077</t>
  </si>
  <si>
    <t>100009136</t>
  </si>
  <si>
    <t>100009143</t>
  </si>
  <si>
    <t>100009152</t>
  </si>
  <si>
    <t>100009175</t>
  </si>
  <si>
    <t>100009190</t>
  </si>
  <si>
    <t>100009193</t>
  </si>
  <si>
    <t>100009209</t>
  </si>
  <si>
    <t>100009220</t>
  </si>
  <si>
    <t>100009245</t>
  </si>
  <si>
    <t>100009254</t>
  </si>
  <si>
    <t>100009268</t>
  </si>
  <si>
    <t>100009273</t>
  </si>
  <si>
    <t>100009283</t>
  </si>
  <si>
    <t>100009305</t>
  </si>
  <si>
    <t>100009330</t>
  </si>
  <si>
    <t>100009357</t>
  </si>
  <si>
    <t>100009366</t>
  </si>
  <si>
    <t>100009370</t>
  </si>
  <si>
    <t>100009410</t>
  </si>
  <si>
    <t>100009445</t>
  </si>
  <si>
    <t>100009461</t>
  </si>
  <si>
    <t>100009471</t>
  </si>
  <si>
    <t>100009480</t>
  </si>
  <si>
    <t>100009506</t>
  </si>
  <si>
    <t>100009521</t>
  </si>
  <si>
    <t>100009531</t>
  </si>
  <si>
    <t>100009655</t>
  </si>
  <si>
    <t>100009749</t>
  </si>
  <si>
    <t>100009750</t>
  </si>
  <si>
    <t>100009783</t>
  </si>
  <si>
    <t>100009824</t>
  </si>
  <si>
    <t>100009827</t>
  </si>
  <si>
    <t>100009844</t>
  </si>
  <si>
    <t>100009889</t>
  </si>
  <si>
    <t>100009894</t>
  </si>
  <si>
    <t>100009902</t>
  </si>
  <si>
    <t>100009910</t>
  </si>
  <si>
    <t>100009946</t>
  </si>
  <si>
    <t>100009947</t>
  </si>
  <si>
    <t>100009952</t>
  </si>
  <si>
    <t>100009956</t>
  </si>
  <si>
    <t>100010007</t>
  </si>
  <si>
    <t>100010010</t>
  </si>
  <si>
    <t>100010014</t>
  </si>
  <si>
    <t>100010021</t>
  </si>
  <si>
    <t>100010022</t>
  </si>
  <si>
    <t>100010039</t>
  </si>
  <si>
    <t>100010044</t>
  </si>
  <si>
    <t>100010065</t>
  </si>
  <si>
    <t>100010074</t>
  </si>
  <si>
    <t>100010077</t>
  </si>
  <si>
    <t>100010107</t>
  </si>
  <si>
    <t>100010129</t>
  </si>
  <si>
    <t>100010132</t>
  </si>
  <si>
    <t>100010133</t>
  </si>
  <si>
    <t>100010140</t>
  </si>
  <si>
    <t>100010150</t>
  </si>
  <si>
    <t>100010169</t>
  </si>
  <si>
    <t>100010175</t>
  </si>
  <si>
    <t>100010176</t>
  </si>
  <si>
    <t>100010180</t>
  </si>
  <si>
    <t>100010181</t>
  </si>
  <si>
    <t>100010187</t>
  </si>
  <si>
    <t>100010189</t>
  </si>
  <si>
    <t>100010193</t>
  </si>
  <si>
    <t>100010194</t>
  </si>
  <si>
    <t>100010214</t>
  </si>
  <si>
    <t>100010221</t>
  </si>
  <si>
    <t>100010227</t>
  </si>
  <si>
    <t>100010233</t>
  </si>
  <si>
    <t>100010254</t>
  </si>
  <si>
    <t>100010264</t>
  </si>
  <si>
    <t>100010280</t>
  </si>
  <si>
    <t>100010283</t>
  </si>
  <si>
    <t>100010287</t>
  </si>
  <si>
    <t>100010288</t>
  </si>
  <si>
    <t>100010290</t>
  </si>
  <si>
    <t>100010302</t>
  </si>
  <si>
    <t>100010317</t>
  </si>
  <si>
    <t>100010318</t>
  </si>
  <si>
    <t>100010319</t>
  </si>
  <si>
    <t>100010348</t>
  </si>
  <si>
    <t>100010350</t>
  </si>
  <si>
    <t>100010356</t>
  </si>
  <si>
    <t>100010371</t>
  </si>
  <si>
    <t>100010383</t>
  </si>
  <si>
    <t>100010388</t>
  </si>
  <si>
    <t>100010408</t>
  </si>
  <si>
    <t>100010409</t>
  </si>
  <si>
    <t>100010410</t>
  </si>
  <si>
    <t>100010412</t>
  </si>
  <si>
    <t>100010420</t>
  </si>
  <si>
    <t>100010427</t>
  </si>
  <si>
    <t>100010428</t>
  </si>
  <si>
    <t>100010429</t>
  </si>
  <si>
    <t>100010432</t>
  </si>
  <si>
    <t>100010446</t>
  </si>
  <si>
    <t>100010460</t>
  </si>
  <si>
    <t>100010466</t>
  </si>
  <si>
    <t>100010476</t>
  </si>
  <si>
    <t>100010477</t>
  </si>
  <si>
    <t>100010482</t>
  </si>
  <si>
    <t>100010490</t>
  </si>
  <si>
    <t>100010494</t>
  </si>
  <si>
    <t>Asmak</t>
  </si>
  <si>
    <t>100010506</t>
  </si>
  <si>
    <t>100010508</t>
  </si>
  <si>
    <t>100010518</t>
  </si>
  <si>
    <t>100010520</t>
  </si>
  <si>
    <t>100010521</t>
  </si>
  <si>
    <t>100010525</t>
  </si>
  <si>
    <t>100010530</t>
  </si>
  <si>
    <t>100010531</t>
  </si>
  <si>
    <t>100010537</t>
  </si>
  <si>
    <t>100010539</t>
  </si>
  <si>
    <t>100010545</t>
  </si>
  <si>
    <t>100010552</t>
  </si>
  <si>
    <t>100010553</t>
  </si>
  <si>
    <t>100010557</t>
  </si>
  <si>
    <t>100010576</t>
  </si>
  <si>
    <t>100010584</t>
  </si>
  <si>
    <t>100010590</t>
  </si>
  <si>
    <t>100010593</t>
  </si>
  <si>
    <t>100010595</t>
  </si>
  <si>
    <t>100010596</t>
  </si>
  <si>
    <t>100010603</t>
  </si>
  <si>
    <t>100010605</t>
  </si>
  <si>
    <t>100010624</t>
  </si>
  <si>
    <t>100010635</t>
  </si>
  <si>
    <t>100010639</t>
  </si>
  <si>
    <t>100010648</t>
  </si>
  <si>
    <t>100010650</t>
  </si>
  <si>
    <t>100010652</t>
  </si>
  <si>
    <t>100010668</t>
  </si>
  <si>
    <t>100010697</t>
  </si>
  <si>
    <t>100010700</t>
  </si>
  <si>
    <t>100010701</t>
  </si>
  <si>
    <t>100010702</t>
  </si>
  <si>
    <t>100010706</t>
  </si>
  <si>
    <t>100010715</t>
  </si>
  <si>
    <t>100010726</t>
  </si>
  <si>
    <t>100010741</t>
  </si>
  <si>
    <t>100010746</t>
  </si>
  <si>
    <t>100010747</t>
  </si>
  <si>
    <t>100010748</t>
  </si>
  <si>
    <t>100010750</t>
  </si>
  <si>
    <t>100010757</t>
  </si>
  <si>
    <t>100010801</t>
  </si>
  <si>
    <t>100010807</t>
  </si>
  <si>
    <t>100010813</t>
  </si>
  <si>
    <t>100010816</t>
  </si>
  <si>
    <t>100010818</t>
  </si>
  <si>
    <t>100010819</t>
  </si>
  <si>
    <t>100010820</t>
  </si>
  <si>
    <t>100010822</t>
  </si>
  <si>
    <t>100010823</t>
  </si>
  <si>
    <t>100010835</t>
  </si>
  <si>
    <t>100010849</t>
  </si>
  <si>
    <t>100010850</t>
  </si>
  <si>
    <t>100010862</t>
  </si>
  <si>
    <t>100010866</t>
  </si>
  <si>
    <t>100010867</t>
  </si>
  <si>
    <t>100010870</t>
  </si>
  <si>
    <t>100010874</t>
  </si>
  <si>
    <t>100010876</t>
  </si>
  <si>
    <t>100010882</t>
  </si>
  <si>
    <t>100010896</t>
  </si>
  <si>
    <t>100010904</t>
  </si>
  <si>
    <t>100010906</t>
  </si>
  <si>
    <t>100010908</t>
  </si>
  <si>
    <t>100010910</t>
  </si>
  <si>
    <t>100010913</t>
  </si>
  <si>
    <t>100010918</t>
  </si>
  <si>
    <t>100010926</t>
  </si>
  <si>
    <t>100010929</t>
  </si>
  <si>
    <t>100010930</t>
  </si>
  <si>
    <t>100010958</t>
  </si>
  <si>
    <t>100010965</t>
  </si>
  <si>
    <t>100010966</t>
  </si>
  <si>
    <t>100010968</t>
  </si>
  <si>
    <t>100010970</t>
  </si>
  <si>
    <t>100010974</t>
  </si>
  <si>
    <t>100010978</t>
  </si>
  <si>
    <t>100010979</t>
  </si>
  <si>
    <t>100010983</t>
  </si>
  <si>
    <t>100010987</t>
  </si>
  <si>
    <t>100010988</t>
  </si>
  <si>
    <t>100010992</t>
  </si>
  <si>
    <t>100011010</t>
  </si>
  <si>
    <t>100011011</t>
  </si>
  <si>
    <t>100011012</t>
  </si>
  <si>
    <t>100011021</t>
  </si>
  <si>
    <t>100011026</t>
  </si>
  <si>
    <t>100011028</t>
  </si>
  <si>
    <t>100011029</t>
  </si>
  <si>
    <t>100011030</t>
  </si>
  <si>
    <t>100011033</t>
  </si>
  <si>
    <t>100011035</t>
  </si>
  <si>
    <t>100011036</t>
  </si>
  <si>
    <t>100011037</t>
  </si>
  <si>
    <t>100011038</t>
  </si>
  <si>
    <t>100011039</t>
  </si>
  <si>
    <t>100011040</t>
  </si>
  <si>
    <t>100011041</t>
  </si>
  <si>
    <t>100011042</t>
  </si>
  <si>
    <t>100011043</t>
  </si>
  <si>
    <t>100011052</t>
  </si>
  <si>
    <t>100011055</t>
  </si>
  <si>
    <t>100011056</t>
  </si>
  <si>
    <t>100011060</t>
  </si>
  <si>
    <t>100011061</t>
  </si>
  <si>
    <t>100011062</t>
  </si>
  <si>
    <t>100011063</t>
  </si>
  <si>
    <t>100011067</t>
  </si>
  <si>
    <t>100011070</t>
  </si>
  <si>
    <t>100011071</t>
  </si>
  <si>
    <t>100011072</t>
  </si>
  <si>
    <t>100011076</t>
  </si>
  <si>
    <t>100011078</t>
  </si>
  <si>
    <t>100011080</t>
  </si>
  <si>
    <t>100011081</t>
  </si>
  <si>
    <t>100011082</t>
  </si>
  <si>
    <t>100011083</t>
  </si>
  <si>
    <t>100011085</t>
  </si>
  <si>
    <t>100011086</t>
  </si>
  <si>
    <t>100011087</t>
  </si>
  <si>
    <t>100011088</t>
  </si>
  <si>
    <t>100011089</t>
  </si>
  <si>
    <t>100011090</t>
  </si>
  <si>
    <t>100011091</t>
  </si>
  <si>
    <t>100011093</t>
  </si>
  <si>
    <t>100011094</t>
  </si>
  <si>
    <t>100011096</t>
  </si>
  <si>
    <t>100011097</t>
  </si>
  <si>
    <t>100011099</t>
  </si>
  <si>
    <t>100011100</t>
  </si>
  <si>
    <t>100011101</t>
  </si>
  <si>
    <t>100011102</t>
  </si>
  <si>
    <t>100011103</t>
  </si>
  <si>
    <t>100011107</t>
  </si>
  <si>
    <t>100011108</t>
  </si>
  <si>
    <t>100011110</t>
  </si>
  <si>
    <t>100011111</t>
  </si>
  <si>
    <t>100011112</t>
  </si>
  <si>
    <t>100011113</t>
  </si>
  <si>
    <t>100011115</t>
  </si>
  <si>
    <t>100011116</t>
  </si>
  <si>
    <t>100011117</t>
  </si>
  <si>
    <t>100011119</t>
  </si>
  <si>
    <t>100011120</t>
  </si>
  <si>
    <t>100011121</t>
  </si>
  <si>
    <t>100011122</t>
  </si>
  <si>
    <t>100011124</t>
  </si>
  <si>
    <t>100011125</t>
  </si>
  <si>
    <t>100011127</t>
  </si>
  <si>
    <t>100011128</t>
  </si>
  <si>
    <t>100011129</t>
  </si>
  <si>
    <t>100011134</t>
  </si>
  <si>
    <t>100011135</t>
  </si>
  <si>
    <t>100011136</t>
  </si>
  <si>
    <t>100011137</t>
  </si>
  <si>
    <t>100011138</t>
  </si>
  <si>
    <t>100011140</t>
  </si>
  <si>
    <t>100011141</t>
  </si>
  <si>
    <t>100011142</t>
  </si>
  <si>
    <t>100011144</t>
  </si>
  <si>
    <t>100011145</t>
  </si>
  <si>
    <t>100011146</t>
  </si>
  <si>
    <t>100011147</t>
  </si>
  <si>
    <t>100011148</t>
  </si>
  <si>
    <t>100011151</t>
  </si>
  <si>
    <t>100011156</t>
  </si>
  <si>
    <t>100011157</t>
  </si>
  <si>
    <t>100011161</t>
  </si>
  <si>
    <t>100011163</t>
  </si>
  <si>
    <t>100011168</t>
  </si>
  <si>
    <t>100011170</t>
  </si>
  <si>
    <t>100011184</t>
  </si>
  <si>
    <t>100011185</t>
  </si>
  <si>
    <t>Type of Service</t>
  </si>
  <si>
    <t>Name of Service</t>
  </si>
  <si>
    <t>No of Visits</t>
  </si>
  <si>
    <t>Revenue</t>
  </si>
  <si>
    <t>Year</t>
  </si>
  <si>
    <t>Bird</t>
  </si>
  <si>
    <t>Rodent</t>
  </si>
  <si>
    <t>Disinfe</t>
  </si>
  <si>
    <t>PEST</t>
  </si>
  <si>
    <t>Termite</t>
  </si>
  <si>
    <t>Values</t>
  </si>
  <si>
    <t>Status</t>
  </si>
  <si>
    <t>New</t>
  </si>
  <si>
    <t>Discon</t>
  </si>
  <si>
    <t>Price</t>
  </si>
  <si>
    <t>Volumn</t>
  </si>
  <si>
    <t>Mix</t>
  </si>
  <si>
    <t>Price 2020</t>
  </si>
  <si>
    <t>Price 2021</t>
  </si>
  <si>
    <t>Change In Revenue</t>
  </si>
  <si>
    <t>Revenue 2020</t>
  </si>
  <si>
    <t>Revenue 2021</t>
  </si>
  <si>
    <t>Revenue Variance Analysis (Price–Volume–Mix)</t>
  </si>
  <si>
    <t>ABC Company PLC</t>
  </si>
  <si>
    <t>PVM Analysis _Summary</t>
  </si>
  <si>
    <t>SAMIR</t>
  </si>
  <si>
    <t xml:space="preserve">MACE </t>
  </si>
  <si>
    <t>DR. R</t>
  </si>
  <si>
    <t>COFEL</t>
  </si>
  <si>
    <t>EMARA</t>
  </si>
  <si>
    <t>TRIST</t>
  </si>
  <si>
    <t>CRACK</t>
  </si>
  <si>
    <t>JAYNE</t>
  </si>
  <si>
    <t>VIPIN</t>
  </si>
  <si>
    <t>HARKE</t>
  </si>
  <si>
    <t xml:space="preserve">SIAN </t>
  </si>
  <si>
    <t>KHOZE</t>
  </si>
  <si>
    <t xml:space="preserve">RAAD </t>
  </si>
  <si>
    <t>DHL W</t>
  </si>
  <si>
    <t xml:space="preserve">HALA </t>
  </si>
  <si>
    <t>SONEL</t>
  </si>
  <si>
    <t xml:space="preserve">GAIL </t>
  </si>
  <si>
    <t>SPINN</t>
  </si>
  <si>
    <t>KIARA</t>
  </si>
  <si>
    <t>ASKAR</t>
  </si>
  <si>
    <t>ENOVA</t>
  </si>
  <si>
    <t>PATRI</t>
  </si>
  <si>
    <t>ONE L</t>
  </si>
  <si>
    <t>DUSSM</t>
  </si>
  <si>
    <t>SUNFL</t>
  </si>
  <si>
    <t>EMIRA</t>
  </si>
  <si>
    <t>MARSA</t>
  </si>
  <si>
    <t>MS. H</t>
  </si>
  <si>
    <t>AHMAD</t>
  </si>
  <si>
    <t>ONE K</t>
  </si>
  <si>
    <t>ADRIE</t>
  </si>
  <si>
    <t>Rento</t>
  </si>
  <si>
    <t>Almar</t>
  </si>
  <si>
    <t>Emril</t>
  </si>
  <si>
    <t>Tafaw</t>
  </si>
  <si>
    <t>Camac</t>
  </si>
  <si>
    <t>Caesa</t>
  </si>
  <si>
    <t>Injaz</t>
  </si>
  <si>
    <t xml:space="preserve">Line </t>
  </si>
  <si>
    <t>Emira</t>
  </si>
  <si>
    <t>Berke</t>
  </si>
  <si>
    <t xml:space="preserve">H.H. </t>
  </si>
  <si>
    <t xml:space="preserve">Veco </t>
  </si>
  <si>
    <t>The O</t>
  </si>
  <si>
    <t>Unitr</t>
  </si>
  <si>
    <t>Chain</t>
  </si>
  <si>
    <t>Pearl</t>
  </si>
  <si>
    <t>First</t>
  </si>
  <si>
    <t>Azade</t>
  </si>
  <si>
    <t>JBI/S</t>
  </si>
  <si>
    <t xml:space="preserve">Maya </t>
  </si>
  <si>
    <t>Arabi</t>
  </si>
  <si>
    <t>Salim</t>
  </si>
  <si>
    <t>Zahar</t>
  </si>
  <si>
    <t>M.A.H</t>
  </si>
  <si>
    <t>Servc</t>
  </si>
  <si>
    <t>Janan</t>
  </si>
  <si>
    <t xml:space="preserve">Adam </t>
  </si>
  <si>
    <t>Al Fu</t>
  </si>
  <si>
    <t xml:space="preserve">Mace </t>
  </si>
  <si>
    <t>Trans</t>
  </si>
  <si>
    <t>Diamo</t>
  </si>
  <si>
    <t>Logis</t>
  </si>
  <si>
    <t>OSN B</t>
  </si>
  <si>
    <t>Sharo</t>
  </si>
  <si>
    <t xml:space="preserve">Rima </t>
  </si>
  <si>
    <t>Melis</t>
  </si>
  <si>
    <t>Marwa</t>
  </si>
  <si>
    <t>Exile</t>
  </si>
  <si>
    <t>St. A</t>
  </si>
  <si>
    <t>Nad A</t>
  </si>
  <si>
    <t>Fortu</t>
  </si>
  <si>
    <t>Sowwa</t>
  </si>
  <si>
    <t>Starw</t>
  </si>
  <si>
    <t>Al Ba</t>
  </si>
  <si>
    <t>Al Sh</t>
  </si>
  <si>
    <t>Premi</t>
  </si>
  <si>
    <t>Sufia</t>
  </si>
  <si>
    <t>Micha</t>
  </si>
  <si>
    <t>Khali</t>
  </si>
  <si>
    <t>Kingf</t>
  </si>
  <si>
    <t>Strat</t>
  </si>
  <si>
    <t>Jo Ja</t>
  </si>
  <si>
    <t>Brian</t>
  </si>
  <si>
    <t>The I</t>
  </si>
  <si>
    <t>Magnu</t>
  </si>
  <si>
    <t xml:space="preserve">Nick </t>
  </si>
  <si>
    <t>Pacif</t>
  </si>
  <si>
    <t>World</t>
  </si>
  <si>
    <t>Goodi</t>
  </si>
  <si>
    <t>Susie</t>
  </si>
  <si>
    <t>Al Da</t>
  </si>
  <si>
    <t>Advan</t>
  </si>
  <si>
    <t>Fanar</t>
  </si>
  <si>
    <t xml:space="preserve">Star </t>
  </si>
  <si>
    <t>Bounc</t>
  </si>
  <si>
    <t>Cosmo</t>
  </si>
  <si>
    <t>Saner</t>
  </si>
  <si>
    <t>Perfe</t>
  </si>
  <si>
    <t xml:space="preserve">Lynn </t>
  </si>
  <si>
    <t>Masha</t>
  </si>
  <si>
    <t>Guard</t>
  </si>
  <si>
    <t>Natal</t>
  </si>
  <si>
    <t>Blais</t>
  </si>
  <si>
    <t>Jorda</t>
  </si>
  <si>
    <t>Chris</t>
  </si>
  <si>
    <t>Elite</t>
  </si>
  <si>
    <t>Laure</t>
  </si>
  <si>
    <t>Sanaz</t>
  </si>
  <si>
    <t>Steve</t>
  </si>
  <si>
    <t>Netwo</t>
  </si>
  <si>
    <t>Sea S</t>
  </si>
  <si>
    <t>Sprin</t>
  </si>
  <si>
    <t>Coast</t>
  </si>
  <si>
    <t xml:space="preserve">Amin </t>
  </si>
  <si>
    <t>YouGo</t>
  </si>
  <si>
    <t>Leena</t>
  </si>
  <si>
    <t>Bilal</t>
  </si>
  <si>
    <t>Sohai</t>
  </si>
  <si>
    <t>Preey</t>
  </si>
  <si>
    <t>Atlas</t>
  </si>
  <si>
    <t>Hagop</t>
  </si>
  <si>
    <t>The T</t>
  </si>
  <si>
    <t>Spect</t>
  </si>
  <si>
    <t>Amare</t>
  </si>
  <si>
    <t>Baker</t>
  </si>
  <si>
    <t>Deyaa</t>
  </si>
  <si>
    <t>Moham</t>
  </si>
  <si>
    <t>Baysw</t>
  </si>
  <si>
    <t xml:space="preserve">Mark </t>
  </si>
  <si>
    <t>Suzan</t>
  </si>
  <si>
    <t>Sarah</t>
  </si>
  <si>
    <t>Areej</t>
  </si>
  <si>
    <t>Panag</t>
  </si>
  <si>
    <t>Ahmed</t>
  </si>
  <si>
    <t>Inspi</t>
  </si>
  <si>
    <t>Il Fo</t>
  </si>
  <si>
    <t>Jessi</t>
  </si>
  <si>
    <t xml:space="preserve">Meat </t>
  </si>
  <si>
    <t xml:space="preserve">Gulf </t>
  </si>
  <si>
    <t>Absol</t>
  </si>
  <si>
    <t xml:space="preserve">Hiba </t>
  </si>
  <si>
    <t>Oilse</t>
  </si>
  <si>
    <t>Dubai</t>
  </si>
  <si>
    <t>Rania</t>
  </si>
  <si>
    <t>Nancy</t>
  </si>
  <si>
    <t xml:space="preserve">Jill </t>
  </si>
  <si>
    <t>Polys</t>
  </si>
  <si>
    <t>The P</t>
  </si>
  <si>
    <t>Victo</t>
  </si>
  <si>
    <t>X-Cal</t>
  </si>
  <si>
    <t>Mirei</t>
  </si>
  <si>
    <t>Pavan</t>
  </si>
  <si>
    <t>Rim Z</t>
  </si>
  <si>
    <t>Hot O</t>
  </si>
  <si>
    <t xml:space="preserve">Zufi </t>
  </si>
  <si>
    <t>Grace</t>
  </si>
  <si>
    <t>Garga</t>
  </si>
  <si>
    <t>Cipri</t>
  </si>
  <si>
    <t>Al Ai</t>
  </si>
  <si>
    <t>Jouma</t>
  </si>
  <si>
    <t>Meyda</t>
  </si>
  <si>
    <t>Mashr</t>
  </si>
  <si>
    <t>One B</t>
  </si>
  <si>
    <t>Model</t>
  </si>
  <si>
    <t>Marti</t>
  </si>
  <si>
    <t>Peter</t>
  </si>
  <si>
    <t>Nadin</t>
  </si>
  <si>
    <t xml:space="preserve">Jane </t>
  </si>
  <si>
    <t>Montb</t>
  </si>
  <si>
    <t>Wasif</t>
  </si>
  <si>
    <t>Diala</t>
  </si>
  <si>
    <t>Kerry</t>
  </si>
  <si>
    <t>Tamra</t>
  </si>
  <si>
    <t xml:space="preserve">Ting </t>
  </si>
  <si>
    <t>Ide M</t>
  </si>
  <si>
    <t>Hanoi</t>
  </si>
  <si>
    <t>Aliso</t>
  </si>
  <si>
    <t xml:space="preserve">Seta </t>
  </si>
  <si>
    <t>Cofel</t>
  </si>
  <si>
    <t>Nikhi</t>
  </si>
  <si>
    <t>Jonat</t>
  </si>
  <si>
    <t>Initi</t>
  </si>
  <si>
    <t>Dorot</t>
  </si>
  <si>
    <t>EFS U</t>
  </si>
  <si>
    <t>Beaut</t>
  </si>
  <si>
    <t xml:space="preserve">Liwa </t>
  </si>
  <si>
    <t>JC Va</t>
  </si>
  <si>
    <t>Rebec</t>
  </si>
  <si>
    <t>Aditi</t>
  </si>
  <si>
    <t>Al Ha</t>
  </si>
  <si>
    <t>McCor</t>
  </si>
  <si>
    <t>Khale</t>
  </si>
  <si>
    <t>Charm</t>
  </si>
  <si>
    <t>Cathe</t>
  </si>
  <si>
    <t>Denho</t>
  </si>
  <si>
    <t xml:space="preserve">Phil </t>
  </si>
  <si>
    <t>Ruper</t>
  </si>
  <si>
    <t>Nusre</t>
  </si>
  <si>
    <t>Yasir</t>
  </si>
  <si>
    <t>Yasmi</t>
  </si>
  <si>
    <t xml:space="preserve">Mono </t>
  </si>
  <si>
    <t>Roque</t>
  </si>
  <si>
    <t>Cindy</t>
  </si>
  <si>
    <t xml:space="preserve">Nazo </t>
  </si>
  <si>
    <t>Trade</t>
  </si>
  <si>
    <t>Maest</t>
  </si>
  <si>
    <t>The F</t>
  </si>
  <si>
    <t xml:space="preserve">Raju </t>
  </si>
  <si>
    <t>Techn</t>
  </si>
  <si>
    <t xml:space="preserve">Ihab </t>
  </si>
  <si>
    <t>Catar</t>
  </si>
  <si>
    <t>Shakl</t>
  </si>
  <si>
    <t>Arabt</t>
  </si>
  <si>
    <t>Three</t>
  </si>
  <si>
    <t>Ellio</t>
  </si>
  <si>
    <t>Marri</t>
  </si>
  <si>
    <t>The V</t>
  </si>
  <si>
    <t>Volan</t>
  </si>
  <si>
    <t>Nasda</t>
  </si>
  <si>
    <t>Vicer</t>
  </si>
  <si>
    <t xml:space="preserve">Muna </t>
  </si>
  <si>
    <t>SWR R</t>
  </si>
  <si>
    <t>Rahul</t>
  </si>
  <si>
    <t>Marga</t>
  </si>
  <si>
    <t xml:space="preserve">Feda </t>
  </si>
  <si>
    <t>Kello</t>
  </si>
  <si>
    <t>Jules</t>
  </si>
  <si>
    <t xml:space="preserve">Mike </t>
  </si>
  <si>
    <t xml:space="preserve">Leah </t>
  </si>
  <si>
    <t>Ammar</t>
  </si>
  <si>
    <t>Farro</t>
  </si>
  <si>
    <t xml:space="preserve">Mary </t>
  </si>
  <si>
    <t>Gordo</t>
  </si>
  <si>
    <t>Dibba</t>
  </si>
  <si>
    <t>New C</t>
  </si>
  <si>
    <t>Jason</t>
  </si>
  <si>
    <t>Thord</t>
  </si>
  <si>
    <t xml:space="preserve">Next </t>
  </si>
  <si>
    <t>Gourm</t>
  </si>
  <si>
    <t>La Ve</t>
  </si>
  <si>
    <t>Valen</t>
  </si>
  <si>
    <t xml:space="preserve">Zaya </t>
  </si>
  <si>
    <t>Carva</t>
  </si>
  <si>
    <t>Campb</t>
  </si>
  <si>
    <t>Skyha</t>
  </si>
  <si>
    <t>Astec</t>
  </si>
  <si>
    <t>Jacki</t>
  </si>
  <si>
    <t>Inter</t>
  </si>
  <si>
    <t>Al Wa</t>
  </si>
  <si>
    <t>Matte</t>
  </si>
  <si>
    <t xml:space="preserve">Ally </t>
  </si>
  <si>
    <t>Prime</t>
  </si>
  <si>
    <t>Intel</t>
  </si>
  <si>
    <t>Hyper</t>
  </si>
  <si>
    <t>Natio</t>
  </si>
  <si>
    <t>Up An</t>
  </si>
  <si>
    <t>Beach</t>
  </si>
  <si>
    <t>Mahit</t>
  </si>
  <si>
    <t>Berna</t>
  </si>
  <si>
    <t>Andia</t>
  </si>
  <si>
    <t>Elchi</t>
  </si>
  <si>
    <t>Skinn</t>
  </si>
  <si>
    <t>Abdul</t>
  </si>
  <si>
    <t>Claud</t>
  </si>
  <si>
    <t>Joann</t>
  </si>
  <si>
    <t>Abu D</t>
  </si>
  <si>
    <t>Texas</t>
  </si>
  <si>
    <t>Lazee</t>
  </si>
  <si>
    <t xml:space="preserve">Dine </t>
  </si>
  <si>
    <t>Ashis</t>
  </si>
  <si>
    <t>Belha</t>
  </si>
  <si>
    <t>Kelly</t>
  </si>
  <si>
    <t>Niles</t>
  </si>
  <si>
    <t xml:space="preserve">Food </t>
  </si>
  <si>
    <t>Roger</t>
  </si>
  <si>
    <t>Aqual</t>
  </si>
  <si>
    <t xml:space="preserve">Tara </t>
  </si>
  <si>
    <t>Andre</t>
  </si>
  <si>
    <t>Samra</t>
  </si>
  <si>
    <t>Colle</t>
  </si>
  <si>
    <t xml:space="preserve">Rami </t>
  </si>
  <si>
    <t>Ben E</t>
  </si>
  <si>
    <t>Holli</t>
  </si>
  <si>
    <t>Al Re</t>
  </si>
  <si>
    <t>Birya</t>
  </si>
  <si>
    <t>Nicol</t>
  </si>
  <si>
    <t>Byrne</t>
  </si>
  <si>
    <t>Fatim</t>
  </si>
  <si>
    <t>Itiha</t>
  </si>
  <si>
    <t>Barce</t>
  </si>
  <si>
    <t>Al Ah</t>
  </si>
  <si>
    <t>Atash</t>
  </si>
  <si>
    <t>Miche</t>
  </si>
  <si>
    <t>Ghada</t>
  </si>
  <si>
    <t>Roots</t>
  </si>
  <si>
    <t>Kevin</t>
  </si>
  <si>
    <t>Goldc</t>
  </si>
  <si>
    <t>Bliss</t>
  </si>
  <si>
    <t>Jasim</t>
  </si>
  <si>
    <t>Jones</t>
  </si>
  <si>
    <t>Amr A</t>
  </si>
  <si>
    <t>Simon</t>
  </si>
  <si>
    <t>Koa R</t>
  </si>
  <si>
    <t>Karim</t>
  </si>
  <si>
    <t>Autom</t>
  </si>
  <si>
    <t>EARTH</t>
  </si>
  <si>
    <t>Betty</t>
  </si>
  <si>
    <t>Anwar</t>
  </si>
  <si>
    <t xml:space="preserve">John </t>
  </si>
  <si>
    <t>Nadia</t>
  </si>
  <si>
    <t xml:space="preserve">Leto </t>
  </si>
  <si>
    <t xml:space="preserve">Anas </t>
  </si>
  <si>
    <t xml:space="preserve">Snow </t>
  </si>
  <si>
    <t>Phili</t>
  </si>
  <si>
    <t>Lynda</t>
  </si>
  <si>
    <t xml:space="preserve">Jade </t>
  </si>
  <si>
    <t>Ghass</t>
  </si>
  <si>
    <t>Infli</t>
  </si>
  <si>
    <t>Apleo</t>
  </si>
  <si>
    <t xml:space="preserve">AMER </t>
  </si>
  <si>
    <t>Sneha</t>
  </si>
  <si>
    <t xml:space="preserve">Lama </t>
  </si>
  <si>
    <t>Lande</t>
  </si>
  <si>
    <t>Yello</t>
  </si>
  <si>
    <t>Bernd</t>
  </si>
  <si>
    <t xml:space="preserve">Owen </t>
  </si>
  <si>
    <t>TAREQ</t>
  </si>
  <si>
    <t>Space</t>
  </si>
  <si>
    <t>Fixis</t>
  </si>
  <si>
    <t>Engin</t>
  </si>
  <si>
    <t xml:space="preserve">CHEF </t>
  </si>
  <si>
    <t>Anand</t>
  </si>
  <si>
    <t>Harmo</t>
  </si>
  <si>
    <t>SSP E</t>
  </si>
  <si>
    <t>BARGA</t>
  </si>
  <si>
    <t>Krisp</t>
  </si>
  <si>
    <t>Deser</t>
  </si>
  <si>
    <t>NICOL</t>
  </si>
  <si>
    <t>Easte</t>
  </si>
  <si>
    <t>JUMEI</t>
  </si>
  <si>
    <t>Debbi</t>
  </si>
  <si>
    <t>Hotel</t>
  </si>
  <si>
    <t xml:space="preserve">Mama </t>
  </si>
  <si>
    <t xml:space="preserve">Suez </t>
  </si>
  <si>
    <t>Kentz</t>
  </si>
  <si>
    <t>The N</t>
  </si>
  <si>
    <t>Natha</t>
  </si>
  <si>
    <t>Steph</t>
  </si>
  <si>
    <t xml:space="preserve">Seth </t>
  </si>
  <si>
    <t>SHARO</t>
  </si>
  <si>
    <t>Carol</t>
  </si>
  <si>
    <t>Linda</t>
  </si>
  <si>
    <t>Olivi</t>
  </si>
  <si>
    <t>Sanni</t>
  </si>
  <si>
    <t>Adolp</t>
  </si>
  <si>
    <t xml:space="preserve">Amir </t>
  </si>
  <si>
    <t>Marie</t>
  </si>
  <si>
    <t>Tom P</t>
  </si>
  <si>
    <t>Mazah</t>
  </si>
  <si>
    <t>Cem O</t>
  </si>
  <si>
    <t xml:space="preserve">Asia </t>
  </si>
  <si>
    <t xml:space="preserve">Bana </t>
  </si>
  <si>
    <t>KCH H</t>
  </si>
  <si>
    <t>Carli</t>
  </si>
  <si>
    <t xml:space="preserve">Kate </t>
  </si>
  <si>
    <t>Al Mi</t>
  </si>
  <si>
    <t>AFM -</t>
  </si>
  <si>
    <t>Conco</t>
  </si>
  <si>
    <t>Richa</t>
  </si>
  <si>
    <t>Rajas</t>
  </si>
  <si>
    <t>Phant</t>
  </si>
  <si>
    <t>WAHID</t>
  </si>
  <si>
    <t>Seren</t>
  </si>
  <si>
    <t>Al Na</t>
  </si>
  <si>
    <t>Dedie</t>
  </si>
  <si>
    <t xml:space="preserve">Oudh </t>
  </si>
  <si>
    <t>Concr</t>
  </si>
  <si>
    <t>Maure</t>
  </si>
  <si>
    <t>MAB F</t>
  </si>
  <si>
    <t>Georg</t>
  </si>
  <si>
    <t>Maril</t>
  </si>
  <si>
    <t>QBG F</t>
  </si>
  <si>
    <t xml:space="preserve">Papa </t>
  </si>
  <si>
    <t>Madar</t>
  </si>
  <si>
    <t>Dr. R</t>
  </si>
  <si>
    <t>Sheet</t>
  </si>
  <si>
    <t xml:space="preserve">ELAN </t>
  </si>
  <si>
    <t>Khara</t>
  </si>
  <si>
    <t>Panos</t>
  </si>
  <si>
    <t>Jabou</t>
  </si>
  <si>
    <t xml:space="preserve">Emma </t>
  </si>
  <si>
    <t>REBEC</t>
  </si>
  <si>
    <t xml:space="preserve">Rana </t>
  </si>
  <si>
    <t>The R</t>
  </si>
  <si>
    <t>Soude</t>
  </si>
  <si>
    <t>Bospo</t>
  </si>
  <si>
    <t>Johnn</t>
  </si>
  <si>
    <t xml:space="preserve">Lina </t>
  </si>
  <si>
    <t>Al Gu</t>
  </si>
  <si>
    <t xml:space="preserve">Noon </t>
  </si>
  <si>
    <t>Flora</t>
  </si>
  <si>
    <t>Nasse</t>
  </si>
  <si>
    <t>Ady B</t>
  </si>
  <si>
    <t>Karen</t>
  </si>
  <si>
    <t>Franc</t>
  </si>
  <si>
    <t>Yazan</t>
  </si>
  <si>
    <t>Ismae</t>
  </si>
  <si>
    <t>Mauri</t>
  </si>
  <si>
    <t>Noora</t>
  </si>
  <si>
    <t>Globa</t>
  </si>
  <si>
    <t xml:space="preserve">Viva </t>
  </si>
  <si>
    <t>Tejas</t>
  </si>
  <si>
    <t xml:space="preserve">Ammr </t>
  </si>
  <si>
    <t>Majid</t>
  </si>
  <si>
    <t>Aseer</t>
  </si>
  <si>
    <t>Dr. A</t>
  </si>
  <si>
    <t>Aerts</t>
  </si>
  <si>
    <t xml:space="preserve">Seba </t>
  </si>
  <si>
    <t xml:space="preserve">Paul </t>
  </si>
  <si>
    <t>Kultu</t>
  </si>
  <si>
    <t>Shadi</t>
  </si>
  <si>
    <t>Cathi</t>
  </si>
  <si>
    <t>Zeina</t>
  </si>
  <si>
    <t>Embas</t>
  </si>
  <si>
    <t>Littl</t>
  </si>
  <si>
    <t>Fabie</t>
  </si>
  <si>
    <t>Umair</t>
  </si>
  <si>
    <t xml:space="preserve">Erin </t>
  </si>
  <si>
    <t>Ramel</t>
  </si>
  <si>
    <t>Susan</t>
  </si>
  <si>
    <t>Kawal</t>
  </si>
  <si>
    <t>Diwan</t>
  </si>
  <si>
    <t>Thoma</t>
  </si>
  <si>
    <t>Amani</t>
  </si>
  <si>
    <t>Musta</t>
  </si>
  <si>
    <t>Ana C</t>
  </si>
  <si>
    <t xml:space="preserve">OOCL </t>
  </si>
  <si>
    <t xml:space="preserve">Ajay </t>
  </si>
  <si>
    <t xml:space="preserve">LISA </t>
  </si>
  <si>
    <t>Cem K</t>
  </si>
  <si>
    <t>Zaina</t>
  </si>
  <si>
    <t>Youse</t>
  </si>
  <si>
    <t>Mirdi</t>
  </si>
  <si>
    <t>Futur</t>
  </si>
  <si>
    <t>Amali</t>
  </si>
  <si>
    <t>Ali G</t>
  </si>
  <si>
    <t>Taher</t>
  </si>
  <si>
    <t>AMAND</t>
  </si>
  <si>
    <t>Eva P</t>
  </si>
  <si>
    <t>RG Pr</t>
  </si>
  <si>
    <t>Frede</t>
  </si>
  <si>
    <t>Donna</t>
  </si>
  <si>
    <t>Juman</t>
  </si>
  <si>
    <t>Chloe</t>
  </si>
  <si>
    <t xml:space="preserve">Tyco </t>
  </si>
  <si>
    <t>Hashi</t>
  </si>
  <si>
    <t xml:space="preserve">Banu </t>
  </si>
  <si>
    <t>Kerst</t>
  </si>
  <si>
    <t>Tafse</t>
  </si>
  <si>
    <t>Fashi</t>
  </si>
  <si>
    <t>JC De</t>
  </si>
  <si>
    <t>Humai</t>
  </si>
  <si>
    <t>Mr. R</t>
  </si>
  <si>
    <t>Al An</t>
  </si>
  <si>
    <t>The L</t>
  </si>
  <si>
    <t>Naomi</t>
  </si>
  <si>
    <t xml:space="preserve">Lisa </t>
  </si>
  <si>
    <t>Naj K</t>
  </si>
  <si>
    <t>Mohan</t>
  </si>
  <si>
    <t>Salee</t>
  </si>
  <si>
    <t>Conny</t>
  </si>
  <si>
    <t xml:space="preserve">Rory </t>
  </si>
  <si>
    <t>Reney</t>
  </si>
  <si>
    <t>Rache</t>
  </si>
  <si>
    <t>Rosch</t>
  </si>
  <si>
    <t>Karis</t>
  </si>
  <si>
    <t>Faisa</t>
  </si>
  <si>
    <t>Najwa</t>
  </si>
  <si>
    <t>Breno</t>
  </si>
  <si>
    <t xml:space="preserve">Aman </t>
  </si>
  <si>
    <t>Sahar</t>
  </si>
  <si>
    <t>Prave</t>
  </si>
  <si>
    <t>Manju</t>
  </si>
  <si>
    <t>Melan</t>
  </si>
  <si>
    <t>Jehan</t>
  </si>
  <si>
    <t xml:space="preserve">Zeba </t>
  </si>
  <si>
    <t>Randa</t>
  </si>
  <si>
    <t>Racha</t>
  </si>
  <si>
    <t>Arman</t>
  </si>
  <si>
    <t>Abdal</t>
  </si>
  <si>
    <t>Roshn</t>
  </si>
  <si>
    <t>STUDI</t>
  </si>
  <si>
    <t>May A</t>
  </si>
  <si>
    <t>Vanes</t>
  </si>
  <si>
    <t>Derta</t>
  </si>
  <si>
    <t>Amjad</t>
  </si>
  <si>
    <t>Tracy</t>
  </si>
  <si>
    <t>Basil</t>
  </si>
  <si>
    <t>Hamad</t>
  </si>
  <si>
    <t>NMC T</t>
  </si>
  <si>
    <t>Khawl</t>
  </si>
  <si>
    <t>Heyth</t>
  </si>
  <si>
    <t>Angel</t>
  </si>
  <si>
    <t>Paulo</t>
  </si>
  <si>
    <t>Sheri</t>
  </si>
  <si>
    <t xml:space="preserve">Carl </t>
  </si>
  <si>
    <t xml:space="preserve">Tina </t>
  </si>
  <si>
    <t>Mrs A</t>
  </si>
  <si>
    <t>Willi</t>
  </si>
  <si>
    <t xml:space="preserve">Dean </t>
  </si>
  <si>
    <t xml:space="preserve">Ziad </t>
  </si>
  <si>
    <t>Amina</t>
  </si>
  <si>
    <t>David</t>
  </si>
  <si>
    <t>Emigr</t>
  </si>
  <si>
    <t>Benja</t>
  </si>
  <si>
    <t>Rajes</t>
  </si>
  <si>
    <t>Elian</t>
  </si>
  <si>
    <t>Dawoo</t>
  </si>
  <si>
    <t>Vijes</t>
  </si>
  <si>
    <t>Imran</t>
  </si>
  <si>
    <t xml:space="preserve">Alex </t>
  </si>
  <si>
    <t>Moust</t>
  </si>
  <si>
    <t>Jodie</t>
  </si>
  <si>
    <t xml:space="preserve">Abdo </t>
  </si>
  <si>
    <t>Taufi</t>
  </si>
  <si>
    <t>Flore</t>
  </si>
  <si>
    <t xml:space="preserve">Wafa </t>
  </si>
  <si>
    <t>Jenni</t>
  </si>
  <si>
    <t>Tarek</t>
  </si>
  <si>
    <t>Aga C</t>
  </si>
  <si>
    <t>Rober</t>
  </si>
  <si>
    <t>Stuar</t>
  </si>
  <si>
    <t>Chinu</t>
  </si>
  <si>
    <t>Maria</t>
  </si>
  <si>
    <t>Ben G</t>
  </si>
  <si>
    <t>Smith</t>
  </si>
  <si>
    <t>Veron</t>
  </si>
  <si>
    <t xml:space="preserve">Omar </t>
  </si>
  <si>
    <t>Ira S</t>
  </si>
  <si>
    <t xml:space="preserve">Haah </t>
  </si>
  <si>
    <t>Marij</t>
  </si>
  <si>
    <t xml:space="preserve">Anna </t>
  </si>
  <si>
    <t>Dr Fo</t>
  </si>
  <si>
    <t xml:space="preserve">Marc </t>
  </si>
  <si>
    <t>Fleur</t>
  </si>
  <si>
    <t>Billy</t>
  </si>
  <si>
    <t>Frank</t>
  </si>
  <si>
    <t>Endea</t>
  </si>
  <si>
    <t>Variance Analysis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</si>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</sst>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b/>
      <u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4" tint="0.79998168889431442"/>
      <name val="Calibri"/>
      <family val="2"/>
      <scheme val="minor"/>
    </font>
    <font>
      <sz val="9"/>
      <color theme="4" tint="0.7999816888943144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3" fontId="2" fillId="0" borderId="0" xfId="1" applyFont="1"/>
    <xf numFmtId="43" fontId="0" fillId="0" borderId="0" xfId="1" applyFont="1"/>
    <xf numFmtId="0" fontId="3" fillId="0" borderId="10" xfId="0" applyFont="1" applyBorder="1"/>
    <xf numFmtId="0" fontId="3" fillId="5" borderId="0" xfId="0" applyFont="1" applyFill="1"/>
    <xf numFmtId="0" fontId="3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6" xfId="0" pivotButton="1" applyFont="1" applyBorder="1"/>
    <xf numFmtId="0" fontId="3" fillId="0" borderId="11" xfId="0" applyFont="1" applyBorder="1"/>
    <xf numFmtId="0" fontId="3" fillId="0" borderId="12" xfId="0" applyFont="1" applyBorder="1"/>
    <xf numFmtId="0" fontId="3" fillId="3" borderId="0" xfId="0" applyFont="1" applyFill="1"/>
    <xf numFmtId="0" fontId="3" fillId="0" borderId="13" xfId="0" applyFont="1" applyBorder="1"/>
    <xf numFmtId="0" fontId="3" fillId="0" borderId="15" xfId="0" applyFont="1" applyBorder="1"/>
    <xf numFmtId="14" fontId="3" fillId="0" borderId="1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/>
    <xf numFmtId="0" fontId="5" fillId="0" borderId="10" xfId="0" applyFont="1" applyBorder="1"/>
    <xf numFmtId="0" fontId="5" fillId="0" borderId="11" xfId="0" pivotButton="1" applyFont="1" applyBorder="1"/>
    <xf numFmtId="0" fontId="5" fillId="0" borderId="1" xfId="0" pivotButton="1" applyFont="1" applyBorder="1"/>
    <xf numFmtId="0" fontId="5" fillId="0" borderId="1" xfId="0" applyFont="1" applyBorder="1"/>
    <xf numFmtId="0" fontId="5" fillId="2" borderId="1" xfId="0" applyFont="1" applyFill="1" applyBorder="1"/>
    <xf numFmtId="43" fontId="5" fillId="2" borderId="11" xfId="1" applyFont="1" applyFill="1" applyBorder="1"/>
    <xf numFmtId="0" fontId="5" fillId="2" borderId="12" xfId="0" applyFont="1" applyFill="1" applyBorder="1"/>
    <xf numFmtId="0" fontId="5" fillId="5" borderId="0" xfId="0" applyFont="1" applyFill="1"/>
    <xf numFmtId="0" fontId="5" fillId="0" borderId="0" xfId="0" applyFont="1"/>
    <xf numFmtId="0" fontId="3" fillId="0" borderId="2" xfId="0" applyFont="1" applyBorder="1"/>
    <xf numFmtId="164" fontId="3" fillId="0" borderId="2" xfId="1" applyNumberFormat="1" applyFont="1" applyBorder="1"/>
    <xf numFmtId="164" fontId="3" fillId="0" borderId="7" xfId="1" applyNumberFormat="1" applyFont="1" applyBorder="1"/>
    <xf numFmtId="164" fontId="3" fillId="0" borderId="8" xfId="1" applyNumberFormat="1" applyFont="1" applyBorder="1"/>
    <xf numFmtId="0" fontId="3" fillId="0" borderId="9" xfId="0" applyFont="1" applyBorder="1"/>
    <xf numFmtId="164" fontId="3" fillId="0" borderId="0" xfId="1" applyNumberFormat="1" applyFont="1" applyBorder="1"/>
    <xf numFmtId="164" fontId="3" fillId="0" borderId="9" xfId="1" applyNumberFormat="1" applyFont="1" applyBorder="1"/>
    <xf numFmtId="164" fontId="3" fillId="0" borderId="10" xfId="1" applyNumberFormat="1" applyFont="1" applyBorder="1"/>
    <xf numFmtId="0" fontId="3" fillId="0" borderId="14" xfId="0" applyFont="1" applyBorder="1"/>
    <xf numFmtId="164" fontId="3" fillId="0" borderId="14" xfId="1" applyNumberFormat="1" applyFont="1" applyBorder="1"/>
    <xf numFmtId="164" fontId="3" fillId="0" borderId="13" xfId="1" applyNumberFormat="1" applyFont="1" applyBorder="1"/>
    <xf numFmtId="164" fontId="3" fillId="0" borderId="15" xfId="1" applyNumberFormat="1" applyFont="1" applyBorder="1"/>
    <xf numFmtId="164" fontId="5" fillId="0" borderId="1" xfId="1" applyNumberFormat="1" applyFont="1" applyBorder="1"/>
    <xf numFmtId="164" fontId="5" fillId="0" borderId="11" xfId="1" applyNumberFormat="1" applyFont="1" applyBorder="1"/>
    <xf numFmtId="164" fontId="5" fillId="0" borderId="12" xfId="1" applyNumberFormat="1" applyFont="1" applyBorder="1"/>
    <xf numFmtId="43" fontId="3" fillId="0" borderId="0" xfId="1" applyFont="1" applyBorder="1"/>
    <xf numFmtId="0" fontId="3" fillId="0" borderId="3" xfId="0" applyFont="1" applyBorder="1"/>
    <xf numFmtId="164" fontId="3" fillId="0" borderId="3" xfId="1" applyNumberFormat="1" applyFont="1" applyBorder="1"/>
    <xf numFmtId="43" fontId="5" fillId="0" borderId="4" xfId="1" applyFont="1" applyFill="1" applyBorder="1"/>
    <xf numFmtId="164" fontId="3" fillId="0" borderId="4" xfId="1" applyNumberFormat="1" applyFont="1" applyBorder="1"/>
    <xf numFmtId="43" fontId="3" fillId="0" borderId="0" xfId="0" applyNumberFormat="1" applyFont="1"/>
    <xf numFmtId="0" fontId="5" fillId="0" borderId="4" xfId="0" applyFont="1" applyBorder="1"/>
    <xf numFmtId="0" fontId="5" fillId="0" borderId="5" xfId="0" applyFont="1" applyBorder="1"/>
    <xf numFmtId="164" fontId="3" fillId="0" borderId="5" xfId="1" applyNumberFormat="1" applyFont="1" applyBorder="1"/>
    <xf numFmtId="43" fontId="3" fillId="0" borderId="14" xfId="1" applyFont="1" applyBorder="1"/>
    <xf numFmtId="43" fontId="3" fillId="5" borderId="0" xfId="1" applyFont="1" applyFill="1"/>
    <xf numFmtId="43" fontId="3" fillId="0" borderId="0" xfId="1" applyFont="1"/>
    <xf numFmtId="164" fontId="3" fillId="0" borderId="0" xfId="1" applyNumberFormat="1" applyFont="1"/>
    <xf numFmtId="164" fontId="9" fillId="0" borderId="10" xfId="1" applyNumberFormat="1" applyFont="1" applyBorder="1"/>
    <xf numFmtId="0" fontId="9" fillId="0" borderId="10" xfId="0" applyFont="1" applyBorder="1"/>
    <xf numFmtId="0" fontId="10" fillId="5" borderId="0" xfId="0" applyFont="1" applyFill="1"/>
    <xf numFmtId="164" fontId="11" fillId="5" borderId="0" xfId="0" applyNumberFormat="1" applyFont="1" applyFill="1"/>
    <xf numFmtId="0" fontId="5" fillId="2" borderId="11" xfId="0" applyFont="1" applyFill="1" applyBorder="1"/>
    <xf numFmtId="0" fontId="6" fillId="2" borderId="12" xfId="0" applyFont="1" applyFill="1" applyBorder="1" applyAlignment="1">
      <alignment wrapText="1"/>
    </xf>
    <xf numFmtId="164" fontId="7" fillId="0" borderId="8" xfId="1" applyNumberFormat="1" applyFont="1" applyBorder="1"/>
    <xf numFmtId="164" fontId="7" fillId="0" borderId="10" xfId="1" applyNumberFormat="1" applyFont="1" applyBorder="1"/>
    <xf numFmtId="164" fontId="7" fillId="0" borderId="15" xfId="1" applyNumberFormat="1" applyFont="1" applyBorder="1"/>
    <xf numFmtId="164" fontId="6" fillId="0" borderId="12" xfId="1" applyNumberFormat="1" applyFont="1" applyBorder="1"/>
    <xf numFmtId="0" fontId="4" fillId="4" borderId="7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43" fontId="5" fillId="3" borderId="7" xfId="1" applyFont="1" applyFill="1" applyBorder="1" applyAlignment="1">
      <alignment horizontal="center"/>
    </xf>
    <xf numFmtId="43" fontId="5" fillId="3" borderId="2" xfId="1" applyFont="1" applyFill="1" applyBorder="1" applyAlignment="1">
      <alignment horizontal="center"/>
    </xf>
    <xf numFmtId="43" fontId="5" fillId="3" borderId="8" xfId="1" applyFont="1" applyFill="1" applyBorder="1" applyAlignment="1">
      <alignment horizontal="center"/>
    </xf>
    <xf numFmtId="43" fontId="5" fillId="3" borderId="13" xfId="1" applyFont="1" applyFill="1" applyBorder="1" applyAlignment="1">
      <alignment horizontal="center"/>
    </xf>
    <xf numFmtId="43" fontId="5" fillId="3" borderId="14" xfId="1" applyFont="1" applyFill="1" applyBorder="1" applyAlignment="1">
      <alignment horizontal="center"/>
    </xf>
    <xf numFmtId="43" fontId="5" fillId="3" borderId="15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-* #,##0_-;\-* #,##0_-;_-* &quot;-&quot;??_-;_-@_-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vertical/>
      </border>
    </dxf>
    <dxf>
      <border>
        <vertical/>
      </border>
    </dxf>
    <dxf>
      <border>
        <vertical/>
      </border>
    </dxf>
    <dxf>
      <border>
        <vertical/>
      </border>
    </dxf>
    <dxf>
      <border>
        <top style="thin">
          <color indexed="64"/>
        </top>
        <vertical/>
      </border>
    </dxf>
    <dxf>
      <border>
        <top style="thin">
          <color indexed="64"/>
        </top>
        <vertical/>
      </border>
    </dxf>
    <dxf>
      <border>
        <top style="thin">
          <color indexed="64"/>
        </top>
        <vertical/>
      </border>
    </dxf>
    <dxf>
      <border>
        <top style="thin">
          <color indexed="64"/>
        </top>
        <vertical/>
      </border>
    </dxf>
    <dxf>
      <border>
        <top style="thin">
          <color indexed="64"/>
        </top>
        <vertical/>
      </border>
    </dxf>
    <dxf>
      <border>
        <top style="thin">
          <color indexed="64"/>
        </top>
        <vertical/>
      </border>
    </dxf>
    <dxf>
      <border>
        <top style="thin">
          <color indexed="64"/>
        </top>
        <vertical/>
      </border>
    </dxf>
    <dxf>
      <border>
        <top style="thin">
          <color indexed="64"/>
        </top>
        <vertical/>
      </border>
    </dxf>
    <dxf>
      <border>
        <top style="thin">
          <color indexed="64"/>
        </top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PVM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PVM Analysis</a:t>
          </a:r>
        </a:p>
      </cx:txPr>
    </cx:title>
    <cx:plotArea>
      <cx:plotAreaRegion>
        <cx:series layoutId="waterfall" uniqueId="{A635194A-DE1D-464E-9072-C324E819BC04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/>
        <cx:units unit="millions">
          <cx:unitsLabel>
            <cx:tx>
              <cx:txData>
                <cx:v>Millions</cx:v>
              </cx:txData>
            </cx:tx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>
                    <a:solidFill>
                      <a:srgbClr val="7F7F7F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GB"/>
                  <a:t>Millions</a:t>
                </a:r>
              </a:p>
            </cx:txPr>
          </cx:unitsLabel>
        </cx:units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630555</xdr:colOff>
      <xdr:row>41</xdr:row>
      <xdr:rowOff>152400</xdr:rowOff>
    </xdr:from>
    <xdr:to>
      <xdr:col>13</xdr:col>
      <xdr:colOff>400050</xdr:colOff>
      <xdr:row>54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637C3D5-03D5-49A5-B11C-F3C02379EE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5735" y="6400800"/>
              <a:ext cx="8662035" cy="1876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vya Augustine" refreshedDate="46142.678806597221" backgroundQuery="1" createdVersion="6" refreshedVersion="8" minRefreshableVersion="3" recordCount="0" supportSubquery="1" supportAdvancedDrill="1" xr:uid="{5CA2A1F4-A568-4D95-BAD5-54A929A27763}">
  <cacheSource type="external" connectionId="4"/>
  <cacheFields count="5">
    <cacheField name="[Qry SalesData].[Category].[Category]" caption="Category" numFmtId="0" hierarchy="2" level="1">
      <sharedItems count="7">
        <s v="Commercial"/>
        <s v="Educational"/>
        <s v="Food Processing"/>
        <s v="Gov"/>
        <s v="Hotels &amp; Resorts"/>
        <s v="Legal"/>
        <s v="Residential"/>
      </sharedItems>
    </cacheField>
    <cacheField name="[Qry SalesData].[Year].[Year]" caption="Year" numFmtId="0" hierarchy="7" level="1">
      <sharedItems containsSemiMixedTypes="0" containsNonDate="0" containsDate="1" containsString="0" minDate="2020-01-01T00:00:00" maxDate="2021-01-02T00:00:00" count="2">
        <d v="2020-01-01T00:00:00"/>
        <d v="2021-01-01T00:00:00"/>
      </sharedItems>
    </cacheField>
    <cacheField name="[Qry SalesData].[Name of Service].[Name of Service]" caption="Name of Service" numFmtId="0" hierarchy="4" level="1">
      <sharedItems count="5">
        <s v="Bird"/>
        <s v="Disinfe"/>
        <s v="PEST"/>
        <s v="Rodent"/>
        <s v="Termite"/>
      </sharedItems>
    </cacheField>
    <cacheField name="[Measures].[Sum of No of Visits]" caption="Sum of No of Visits" numFmtId="0" hierarchy="14" level="32767"/>
    <cacheField name="[Measures].[Sum of Revenue]" caption="Sum of Revenue" numFmtId="0" hierarchy="13" level="32767"/>
  </cacheFields>
  <cacheHierarchies count="17">
    <cacheHierarchy uniqueName="[Qry SalesData].[Account No]" caption="Account No" attribute="1" defaultMemberUniqueName="[Qry SalesData].[Account No].[All]" allUniqueName="[Qry SalesData].[Account No].[All]" dimensionUniqueName="[Qry SalesData]" displayFolder="" count="0" memberValueDatatype="20" unbalanced="0"/>
    <cacheHierarchy uniqueName="[Qry SalesData].[Customer Name]" caption="Customer Name" attribute="1" defaultMemberUniqueName="[Qry SalesData].[Customer Name].[All]" allUniqueName="[Qry SalesData].[Customer Name].[All]" dimensionUniqueName="[Qry SalesData]" displayFolder="" count="0" memberValueDatatype="130" unbalanced="0"/>
    <cacheHierarchy uniqueName="[Qry SalesData].[Category]" caption="Category" attribute="1" defaultMemberUniqueName="[Qry SalesData].[Category].[All]" allUniqueName="[Qry SalesData].[Category].[All]" dimensionUniqueName="[Qry SalesData]" displayFolder="" count="2" memberValueDatatype="130" unbalanced="0">
      <fieldsUsage count="2">
        <fieldUsage x="-1"/>
        <fieldUsage x="0"/>
      </fieldsUsage>
    </cacheHierarchy>
    <cacheHierarchy uniqueName="[Qry SalesData].[Type of Service]" caption="Type of Service" attribute="1" defaultMemberUniqueName="[Qry SalesData].[Type of Service].[All]" allUniqueName="[Qry SalesData].[Type of Service].[All]" dimensionUniqueName="[Qry SalesData]" displayFolder="" count="0" memberValueDatatype="20" unbalanced="0"/>
    <cacheHierarchy uniqueName="[Qry SalesData].[Name of Service]" caption="Name of Service" attribute="1" defaultMemberUniqueName="[Qry SalesData].[Name of Service].[All]" allUniqueName="[Qry SalesData].[Name of Service].[All]" dimensionUniqueName="[Qry SalesData]" displayFolder="" count="2" memberValueDatatype="130" unbalanced="0">
      <fieldsUsage count="2">
        <fieldUsage x="-1"/>
        <fieldUsage x="2"/>
      </fieldsUsage>
    </cacheHierarchy>
    <cacheHierarchy uniqueName="[Qry SalesData].[No of Visits]" caption="No of Visits" attribute="1" defaultMemberUniqueName="[Qry SalesData].[No of Visits].[All]" allUniqueName="[Qry SalesData].[No of Visits].[All]" dimensionUniqueName="[Qry SalesData]" displayFolder="" count="0" memberValueDatatype="20" unbalanced="0"/>
    <cacheHierarchy uniqueName="[Qry SalesData].[Revenue]" caption="Revenue" attribute="1" defaultMemberUniqueName="[Qry SalesData].[Revenue].[All]" allUniqueName="[Qry SalesData].[Revenue].[All]" dimensionUniqueName="[Qry SalesData]" displayFolder="" count="0" memberValueDatatype="20" unbalanced="0"/>
    <cacheHierarchy uniqueName="[Qry SalesData].[Year]" caption="Year" attribute="1" time="1" defaultMemberUniqueName="[Qry SalesData].[Year].[All]" allUniqueName="[Qry SalesData].[Year].[All]" dimensionUniqueName="[Qry SalesData]" displayFolder="" count="2" memberValueDatatype="7" unbalanced="0">
      <fieldsUsage count="2">
        <fieldUsage x="-1"/>
        <fieldUsage x="1"/>
      </fieldsUsage>
    </cacheHierarchy>
    <cacheHierarchy uniqueName="[Qry SalesData].[Year (Year)]" caption="Year (Year)" attribute="1" defaultMemberUniqueName="[Qry SalesData].[Year (Year)].[All]" allUniqueName="[Qry SalesData].[Year (Year)].[All]" dimensionUniqueName="[Qry SalesData]" displayFolder="" count="0" memberValueDatatype="130" unbalanced="0"/>
    <cacheHierarchy uniqueName="[Qry SalesData].[Year (Quarter)]" caption="Year (Quarter)" attribute="1" defaultMemberUniqueName="[Qry SalesData].[Year (Quarter)].[All]" allUniqueName="[Qry SalesData].[Year (Quarter)].[All]" dimensionUniqueName="[Qry SalesData]" displayFolder="" count="0" memberValueDatatype="130" unbalanced="0"/>
    <cacheHierarchy uniqueName="[Qry SalesData].[Year (Month)]" caption="Year (Month)" attribute="1" defaultMemberUniqueName="[Qry SalesData].[Year (Month)].[All]" allUniqueName="[Qry SalesData].[Year (Month)].[All]" dimensionUniqueName="[Qry SalesData]" displayFolder="" count="0" memberValueDatatype="130" unbalanced="0"/>
    <cacheHierarchy uniqueName="[Qry SalesData].[Year (Month Index)]" caption="Year (Month Index)" attribute="1" defaultMemberUniqueName="[Qry SalesData].[Year (Month Index)].[All]" allUniqueName="[Qry SalesData].[Year (Month Index)].[All]" dimensionUniqueName="[Qry SalesData]" displayFolder="" count="0" memberValueDatatype="20" unbalanced="0" hidden="1"/>
    <cacheHierarchy uniqueName="[Measures].[Sum of Type of Service]" caption="Sum of Type of Service" measure="1" displayFolder="" measureGroup="Qry SalesData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]" caption="Sum of Revenue" measure="1" displayFolder="" measureGroup="Qry SalesData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No of Visits]" caption="Sum of No of Visits" measure="1" displayFolder="" measureGroup="Qry SalesData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__XL_Count Qry SalesData]" caption="__XL_Count Qry SalesData" measure="1" displayFolder="" measureGroup="Qry SalesData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Qry SalesData" uniqueName="[Qry SalesData]" caption="Qry SalesData"/>
  </dimensions>
  <measureGroups count="1">
    <measureGroup name="Qry SalesData" caption="Qry 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6585F-9529-4DB3-8228-036137C30AD6}" name="PivotTable4" cacheId="6" applyNumberFormats="0" applyBorderFormats="0" applyFontFormats="0" applyPatternFormats="0" applyAlignmentFormats="0" applyWidthHeightFormats="1" dataCaption="Values" tag="76d8e6e3-7288-4d4a-b3ee-12bc0a5d85fc" updatedVersion="8" minRefreshableVersion="3" useAutoFormatting="1" rowGrandTotals="0" colGrandTotals="0" itemPrintTitles="1" createdVersion="6" indent="0" compact="0" compactData="0" multipleFieldFilters="0">
  <location ref="B3:G40" firstHeaderRow="1" firstDataRow="3" firstDataCol="2"/>
  <pivotFields count="5"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2"/>
  </rowFields>
  <rowItems count="35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  <i>
      <x v="4"/>
      <x/>
    </i>
    <i r="1">
      <x v="1"/>
    </i>
    <i r="1">
      <x v="2"/>
    </i>
    <i r="1">
      <x v="3"/>
    </i>
    <i r="1">
      <x v="4"/>
    </i>
    <i>
      <x v="5"/>
      <x/>
    </i>
    <i r="1">
      <x v="1"/>
    </i>
    <i r="1">
      <x v="2"/>
    </i>
    <i r="1">
      <x v="3"/>
    </i>
    <i r="1">
      <x v="4"/>
    </i>
    <i>
      <x v="6"/>
      <x/>
    </i>
    <i r="1">
      <x v="1"/>
    </i>
    <i r="1">
      <x v="2"/>
    </i>
    <i r="1">
      <x v="3"/>
    </i>
    <i r="1">
      <x v="4"/>
    </i>
  </rowItems>
  <colFields count="2">
    <field x="1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No of Visits" fld="3" baseField="0" baseItem="0"/>
    <dataField name="Revenue" fld="4" baseField="0" baseItem="0"/>
  </dataFields>
  <formats count="56">
    <format dxfId="73">
      <pivotArea field="0" type="button" dataOnly="0" labelOnly="1" outline="0" axis="axisRow" fieldPosition="0"/>
    </format>
    <format dxfId="72">
      <pivotArea field="2" type="button" dataOnly="0" labelOnly="1" outline="0" axis="axisRow" fieldPosition="1"/>
    </format>
    <format dxfId="7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7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1" type="button" dataOnly="0" labelOnly="1" outline="0" axis="axisCol" fieldPosition="0"/>
    </format>
    <format dxfId="65">
      <pivotArea field="-2" type="button" dataOnly="0" labelOnly="1" outline="0" axis="axisCol" fieldPosition="1"/>
    </format>
    <format dxfId="64">
      <pivotArea type="topRight" dataOnly="0" labelOnly="1" outline="0" fieldPosition="0"/>
    </format>
    <format dxfId="63">
      <pivotArea field="0" type="button" dataOnly="0" labelOnly="1" outline="0" axis="axisRow" fieldPosition="0"/>
    </format>
    <format dxfId="62">
      <pivotArea field="2" type="button" dataOnly="0" labelOnly="1" outline="0" axis="axisRow" fieldPosition="1"/>
    </format>
    <format dxfId="61">
      <pivotArea dataOnly="0" labelOnly="1" outline="0" fieldPosition="0">
        <references count="1">
          <reference field="0" count="0"/>
        </references>
      </pivotArea>
    </format>
    <format dxfId="60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59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58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57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56">
      <pivotArea dataOnly="0" labelOnly="1" outline="0" fieldPosition="0">
        <references count="2">
          <reference field="0" count="1" selected="0">
            <x v="4"/>
          </reference>
          <reference field="2" count="0"/>
        </references>
      </pivotArea>
    </format>
    <format dxfId="55">
      <pivotArea dataOnly="0" labelOnly="1" outline="0" fieldPosition="0">
        <references count="2">
          <reference field="0" count="1" selected="0">
            <x v="5"/>
          </reference>
          <reference field="2" count="0"/>
        </references>
      </pivotArea>
    </format>
    <format dxfId="54">
      <pivotArea dataOnly="0" labelOnly="1" outline="0" fieldPosition="0">
        <references count="2">
          <reference field="0" count="1" selected="0">
            <x v="6"/>
          </reference>
          <reference field="2" count="0"/>
        </references>
      </pivotArea>
    </format>
    <format dxfId="53">
      <pivotArea dataOnly="0" labelOnly="1" outline="0" fieldPosition="0">
        <references count="1">
          <reference field="1" count="0"/>
        </references>
      </pivotArea>
    </format>
    <format dxfId="5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5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50">
      <pivotArea outline="0" collapsedLevelsAreSubtotals="1" fieldPosition="0"/>
    </format>
    <format dxfId="49">
      <pivotArea dataOnly="0" labelOnly="1" outline="0" fieldPosition="0">
        <references count="1">
          <reference field="0" count="0"/>
        </references>
      </pivotArea>
    </format>
    <format dxfId="48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47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46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45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44">
      <pivotArea dataOnly="0" labelOnly="1" outline="0" fieldPosition="0">
        <references count="2">
          <reference field="0" count="1" selected="0">
            <x v="4"/>
          </reference>
          <reference field="2" count="0"/>
        </references>
      </pivotArea>
    </format>
    <format dxfId="43">
      <pivotArea dataOnly="0" labelOnly="1" outline="0" fieldPosition="0">
        <references count="2">
          <reference field="0" count="1" selected="0">
            <x v="5"/>
          </reference>
          <reference field="2" count="0"/>
        </references>
      </pivotArea>
    </format>
    <format dxfId="42">
      <pivotArea dataOnly="0" labelOnly="1" outline="0" fieldPosition="0">
        <references count="2">
          <reference field="0" count="1" selected="0">
            <x v="6"/>
          </reference>
          <reference field="2" count="0"/>
        </references>
      </pivotArea>
    </format>
    <format dxfId="41">
      <pivotArea field="0" type="button" dataOnly="0" labelOnly="1" outline="0" axis="axisRow" fieldPosition="0"/>
    </format>
    <format dxfId="40">
      <pivotArea field="2" type="button" dataOnly="0" labelOnly="1" outline="0" axis="axisRow" fieldPosition="1"/>
    </format>
    <format dxfId="3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3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1" type="button" dataOnly="0" labelOnly="1" outline="0" axis="axisCol" fieldPosition="0"/>
    </format>
    <format dxfId="33">
      <pivotArea field="-2" type="button" dataOnly="0" labelOnly="1" outline="0" axis="axisCol" fieldPosition="1"/>
    </format>
    <format dxfId="32">
      <pivotArea type="topRight" dataOnly="0" labelOnly="1" outline="0" fieldPosition="0"/>
    </format>
    <format dxfId="31">
      <pivotArea field="0" type="button" dataOnly="0" labelOnly="1" outline="0" axis="axisRow" fieldPosition="0"/>
    </format>
    <format dxfId="30">
      <pivotArea field="2" type="button" dataOnly="0" labelOnly="1" outline="0" axis="axisRow" fieldPosition="1"/>
    </format>
    <format dxfId="29">
      <pivotArea dataOnly="0" labelOnly="1" outline="0" fieldPosition="0">
        <references count="1">
          <reference field="0" count="0"/>
        </references>
      </pivotArea>
    </format>
    <format dxfId="28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27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26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25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24">
      <pivotArea dataOnly="0" labelOnly="1" outline="0" fieldPosition="0">
        <references count="2">
          <reference field="0" count="1" selected="0">
            <x v="4"/>
          </reference>
          <reference field="2" count="0"/>
        </references>
      </pivotArea>
    </format>
    <format dxfId="23">
      <pivotArea dataOnly="0" labelOnly="1" outline="0" fieldPosition="0">
        <references count="2">
          <reference field="0" count="1" selected="0">
            <x v="5"/>
          </reference>
          <reference field="2" count="0"/>
        </references>
      </pivotArea>
    </format>
    <format dxfId="22">
      <pivotArea dataOnly="0" labelOnly="1" outline="0" fieldPosition="0">
        <references count="2">
          <reference field="0" count="1" selected="0">
            <x v="6"/>
          </reference>
          <reference field="2" count="0"/>
        </references>
      </pivotArea>
    </format>
    <format dxfId="21">
      <pivotArea dataOnly="0" labelOnly="1" outline="0" fieldPosition="0">
        <references count="1">
          <reference field="1" count="0"/>
        </references>
      </pivotArea>
    </format>
    <format dxfId="2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1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18">
      <pivotArea outline="0" collapsedLevelsAreSubtotals="1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venue"/>
    <pivotHierarchy dragToData="1" caption="No of Visits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4"/>
  </rowHierarchiesUsage>
  <colHierarchiesUsage count="2">
    <colHierarchyUsage hierarchyUsage="7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ry 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EFD83-8323-48B7-BC73-E64F6258B4AA}" name="Tbl_2021" displayName="Tbl_2021" ref="B3:H650" totalsRowShown="0" headerRowDxfId="17">
  <autoFilter ref="B3:H650" xr:uid="{B425A96F-1B13-4797-BF88-FC6E549728DF}"/>
  <tableColumns count="7">
    <tableColumn id="1" xr3:uid="{288601B9-EAA1-4F73-9CFB-7665270E84C8}" name="Account No"/>
    <tableColumn id="2" xr3:uid="{400FE389-4FCE-4212-9697-0040D6EC64E6}" name="Customer Name"/>
    <tableColumn id="3" xr3:uid="{92247A83-C2FB-43C3-B217-40A71C589A3B}" name="Category"/>
    <tableColumn id="4" xr3:uid="{14EA7C89-7B5C-4211-BD0E-92F0F635AE16}" name="Type of Service" dataDxfId="16" totalsRowDxfId="15"/>
    <tableColumn id="5" xr3:uid="{85C31D21-8CE1-4850-AB29-58D7C9280C0C}" name="Name of Service" dataDxfId="14" totalsRowDxfId="13">
      <calculatedColumnFormula>+CHOOSE(Tbl_2021[[#This Row],[Type of Service]],"PEST","Disinfe","Rodent","Bird","Termite")</calculatedColumnFormula>
    </tableColumn>
    <tableColumn id="6" xr3:uid="{D9D059F8-1955-41EA-A2FB-AF1A4CB2C98C}" name="No of Visits" dataDxfId="12" totalsRowDxfId="11"/>
    <tableColumn id="7" xr3:uid="{ED7F3939-E11E-4C0C-A380-2A9D5ED99431}" name="Revenue" dataDxfId="10" totalsRowDxfId="9" dataCellStyle="Comma" totalsRowCellStyle="Comma">
      <calculatedColumnFormula>+CHOOSE(Tbl_2021[[#This Row],[Type of Service]],2020,3500,3200,4100,5300)*Tbl_2021[[#This Row],[No of Visits]]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2E35C6-C8B1-4F61-9875-228659F2C653}" name="Tbl_2020" displayName="Tbl_2020" ref="B3:H650" totalsRowShown="0" headerRowDxfId="8">
  <autoFilter ref="B3:H650" xr:uid="{B425A96F-1B13-4797-BF88-FC6E549728DF}"/>
  <tableColumns count="7">
    <tableColumn id="1" xr3:uid="{73CDA179-91E5-43B9-9F25-0B4D179BBA03}" name="Account No"/>
    <tableColumn id="2" xr3:uid="{EF155427-EF21-4892-83F9-8CE558075920}" name="Customer Name"/>
    <tableColumn id="3" xr3:uid="{076B33FC-0E9C-44FB-9949-74334D2E8AB0}" name="Category"/>
    <tableColumn id="4" xr3:uid="{70DDDCB4-6CDD-4CE7-964C-1E9A1F846066}" name="Type of Service" dataDxfId="7" totalsRowDxfId="6"/>
    <tableColumn id="5" xr3:uid="{02BB1DF5-6CA5-4EAD-9419-67194C3F922C}" name="Name of Service" dataDxfId="5" totalsRowDxfId="4">
      <calculatedColumnFormula>+CHOOSE(Tbl_2020[[#This Row],[Type of Service]],"PEST","Disinfe","Rodent","Bird","Termite")</calculatedColumnFormula>
    </tableColumn>
    <tableColumn id="6" xr3:uid="{5291CA48-C6AA-4927-9AE5-4DFBB8D58D70}" name="No of Visits" dataDxfId="3" totalsRowDxfId="2"/>
    <tableColumn id="7" xr3:uid="{D7BDE422-3E3F-4EE7-BC51-6987DE0680C5}" name="Revenue" dataDxfId="1" totalsRowDxfId="0" dataCellStyle="Comma">
      <calculatedColumnFormula>+CHOOSE(Tbl_2020[[#This Row],[Type of Service]],2000,3000,3500,4500,5000)*Tbl_2020[[#This Row],[No of Visits]]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Divya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92D050"/>
      </a:accent1>
      <a:accent2>
        <a:srgbClr val="FF0000"/>
      </a:accent2>
      <a:accent3>
        <a:srgbClr val="A5A5A5"/>
      </a:accent3>
      <a:accent4>
        <a:srgbClr val="FFC000"/>
      </a:accent4>
      <a:accent5>
        <a:srgbClr val="4472C4"/>
      </a:accent5>
      <a:accent6>
        <a:srgbClr val="C490AA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26A3-3294-40E5-A9D3-A6F34D4C2CB0}">
  <dimension ref="A1:AC252"/>
  <sheetViews>
    <sheetView showGridLines="0" tabSelected="1" zoomScale="60" zoomScaleNormal="60" workbookViewId="0">
      <selection activeCell="U34" sqref="U34"/>
    </sheetView>
  </sheetViews>
  <sheetFormatPr defaultRowHeight="12" x14ac:dyDescent="0.25"/>
  <cols>
    <col min="1" max="1" width="3.77734375" style="7" customWidth="1"/>
    <col min="2" max="2" width="17.21875" style="7" customWidth="1"/>
    <col min="3" max="3" width="16.5546875" style="7" customWidth="1"/>
    <col min="4" max="4" width="11.21875" style="7" customWidth="1"/>
    <col min="5" max="5" width="15.6640625" style="7" customWidth="1"/>
    <col min="6" max="7" width="16.33203125" style="7" customWidth="1"/>
    <col min="8" max="8" width="10" style="7" customWidth="1"/>
    <col min="9" max="9" width="10.5546875" style="7" bestFit="1" customWidth="1"/>
    <col min="10" max="10" width="11.5546875" style="7" bestFit="1" customWidth="1"/>
    <col min="11" max="11" width="14.33203125" style="7" bestFit="1" customWidth="1"/>
    <col min="12" max="12" width="14.33203125" style="54" bestFit="1" customWidth="1"/>
    <col min="13" max="13" width="20.5546875" style="7" bestFit="1" customWidth="1"/>
    <col min="14" max="14" width="16.88671875" style="7" bestFit="1" customWidth="1"/>
    <col min="15" max="15" width="14.33203125" style="7" bestFit="1" customWidth="1"/>
    <col min="16" max="16" width="16.88671875" style="7" bestFit="1" customWidth="1"/>
    <col min="17" max="16384" width="8.88671875" style="7"/>
  </cols>
  <sheetData>
    <row r="1" spans="1:29" x14ac:dyDescent="0.25">
      <c r="A1" s="5"/>
      <c r="B1" s="66" t="s">
        <v>685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25">
      <c r="A2" s="5"/>
      <c r="B2" s="69" t="s">
        <v>686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1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5"/>
      <c r="B3" s="8"/>
      <c r="C3" s="9"/>
      <c r="D3" s="10" t="s">
        <v>667</v>
      </c>
      <c r="E3" s="10" t="s">
        <v>673</v>
      </c>
      <c r="F3" s="11"/>
      <c r="G3" s="12"/>
      <c r="H3" s="13"/>
      <c r="I3" s="13"/>
      <c r="J3" s="13"/>
      <c r="K3" s="13"/>
      <c r="L3" s="74" t="s">
        <v>1237</v>
      </c>
      <c r="M3" s="75"/>
      <c r="N3" s="75"/>
      <c r="O3" s="75"/>
      <c r="P3" s="7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5"/>
      <c r="B4" s="14"/>
      <c r="C4" s="15"/>
      <c r="D4" s="16">
        <v>43831</v>
      </c>
      <c r="E4" s="17"/>
      <c r="F4" s="18">
        <v>44197</v>
      </c>
      <c r="G4" s="12"/>
      <c r="H4" s="13"/>
      <c r="I4" s="13"/>
      <c r="J4" s="13"/>
      <c r="K4" s="13"/>
      <c r="L4" s="77"/>
      <c r="M4" s="78"/>
      <c r="N4" s="78"/>
      <c r="O4" s="78"/>
      <c r="P4" s="79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s="27" customFormat="1" x14ac:dyDescent="0.25">
      <c r="A5" s="19"/>
      <c r="B5" s="20" t="s">
        <v>2</v>
      </c>
      <c r="C5" s="21" t="s">
        <v>664</v>
      </c>
      <c r="D5" s="22" t="s">
        <v>665</v>
      </c>
      <c r="E5" s="22" t="s">
        <v>666</v>
      </c>
      <c r="F5" s="22" t="s">
        <v>665</v>
      </c>
      <c r="G5" s="22" t="s">
        <v>666</v>
      </c>
      <c r="H5" s="60" t="s">
        <v>674</v>
      </c>
      <c r="I5" s="23" t="s">
        <v>680</v>
      </c>
      <c r="J5" s="23" t="s">
        <v>681</v>
      </c>
      <c r="K5" s="61" t="s">
        <v>682</v>
      </c>
      <c r="L5" s="24" t="s">
        <v>677</v>
      </c>
      <c r="M5" s="23" t="s">
        <v>678</v>
      </c>
      <c r="N5" s="23" t="s">
        <v>679</v>
      </c>
      <c r="O5" s="23" t="s">
        <v>675</v>
      </c>
      <c r="P5" s="25" t="s">
        <v>676</v>
      </c>
      <c r="Q5" s="58" t="s">
        <v>1238</v>
      </c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x14ac:dyDescent="0.25">
      <c r="A6" s="5"/>
      <c r="B6" s="8" t="s">
        <v>14</v>
      </c>
      <c r="C6" s="28" t="s">
        <v>668</v>
      </c>
      <c r="D6" s="29">
        <v>270</v>
      </c>
      <c r="E6" s="29">
        <v>1215000</v>
      </c>
      <c r="F6" s="29">
        <v>492</v>
      </c>
      <c r="G6" s="29">
        <v>2017200</v>
      </c>
      <c r="H6" s="30" t="str">
        <f>+IF(AND(D6&gt;0,F6&gt;0),"Active",IF(AND(D6&gt;0,F6&lt;=0),"Discon",IF(AND(D6&lt;=0,F6&gt;0),"New")))</f>
        <v>Active</v>
      </c>
      <c r="I6" s="29">
        <f>+IFERROR((E6/D6),0)</f>
        <v>4500</v>
      </c>
      <c r="J6" s="29">
        <f>IFERROR((G6/F6),0)</f>
        <v>4100</v>
      </c>
      <c r="K6" s="62">
        <f>+G6-E6</f>
        <v>802200</v>
      </c>
      <c r="L6" s="30">
        <f>+IF($H6="Active",((J6-I6)*F6),0)</f>
        <v>-196800</v>
      </c>
      <c r="M6" s="33">
        <f>+IF(H6="Active",(($F$41-$D$41)*I6*D6/$D$41),0)</f>
        <v>143827.50845546788</v>
      </c>
      <c r="N6" s="33">
        <f>+IF(H6="Active",($F$41*I6*((F6/$F$41)-(D6/$D$41))),0)</f>
        <v>855172.49154453201</v>
      </c>
      <c r="O6" s="29">
        <f>+IF(H6="New",G6,0)</f>
        <v>0</v>
      </c>
      <c r="P6" s="31">
        <f>+IF(H6="Discon",-E6,)</f>
        <v>0</v>
      </c>
      <c r="Q6" s="59">
        <f>+K6-SUM(L6:P6)</f>
        <v>0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5"/>
      <c r="B7" s="32"/>
      <c r="C7" s="7" t="s">
        <v>670</v>
      </c>
      <c r="D7" s="55">
        <v>349</v>
      </c>
      <c r="E7" s="55">
        <v>1047000</v>
      </c>
      <c r="F7" s="55">
        <v>344</v>
      </c>
      <c r="G7" s="55">
        <v>1204000</v>
      </c>
      <c r="H7" s="34" t="str">
        <f t="shared" ref="H7:H40" si="0">+IF(AND(D7&gt;0,F7&gt;0),"Active",IF(AND(D7&gt;0,F7&lt;=0),"Discon",IF(AND(D7&lt;=0,F7&gt;0),"New")))</f>
        <v>Active</v>
      </c>
      <c r="I7" s="33">
        <f t="shared" ref="I7:I40" si="1">+IFERROR((E7/D7),0)</f>
        <v>3000</v>
      </c>
      <c r="J7" s="33">
        <f t="shared" ref="J7:J40" si="2">IFERROR((G7/F7),0)</f>
        <v>3500</v>
      </c>
      <c r="K7" s="63">
        <f t="shared" ref="K7:K40" si="3">+G7-E7</f>
        <v>157000</v>
      </c>
      <c r="L7" s="34">
        <f t="shared" ref="L7:L40" si="4">+IF($H7="Active",((J7-I7)*F7),0)</f>
        <v>172000</v>
      </c>
      <c r="M7" s="33">
        <f t="shared" ref="M7:M40" si="5">+IF(H7="Active",(($F$41-$D$41)*I7*D7/$D$41),0)</f>
        <v>123940.2480270575</v>
      </c>
      <c r="N7" s="33">
        <f t="shared" ref="N7:N40" si="6">+IF(H7="Active",($F$41*I7*((F7/$F$41)-(D7/$D$41))),0)</f>
        <v>-138940.24802705765</v>
      </c>
      <c r="O7" s="33">
        <f t="shared" ref="O7:O40" si="7">+IF(H7="New",G7,0)</f>
        <v>0</v>
      </c>
      <c r="P7" s="35">
        <f t="shared" ref="P7:P40" si="8">+IF(H7="Discon",-E7,)</f>
        <v>0</v>
      </c>
      <c r="Q7" s="59">
        <f t="shared" ref="Q7:Q40" si="9">+K7-SUM(L7:P7)</f>
        <v>0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5"/>
      <c r="B8" s="32"/>
      <c r="C8" s="7" t="s">
        <v>671</v>
      </c>
      <c r="D8" s="55">
        <v>309</v>
      </c>
      <c r="E8" s="55">
        <v>618000</v>
      </c>
      <c r="F8" s="55">
        <v>334</v>
      </c>
      <c r="G8" s="55">
        <v>674680</v>
      </c>
      <c r="H8" s="34" t="str">
        <f t="shared" si="0"/>
        <v>Active</v>
      </c>
      <c r="I8" s="33">
        <f t="shared" si="1"/>
        <v>2000</v>
      </c>
      <c r="J8" s="33">
        <f t="shared" si="2"/>
        <v>2020</v>
      </c>
      <c r="K8" s="63">
        <f t="shared" si="3"/>
        <v>56680</v>
      </c>
      <c r="L8" s="34">
        <f t="shared" si="4"/>
        <v>6680</v>
      </c>
      <c r="M8" s="33">
        <f t="shared" si="5"/>
        <v>73156.708004509579</v>
      </c>
      <c r="N8" s="33">
        <f t="shared" si="6"/>
        <v>-23156.708004509586</v>
      </c>
      <c r="O8" s="33">
        <f t="shared" si="7"/>
        <v>0</v>
      </c>
      <c r="P8" s="35">
        <f t="shared" si="8"/>
        <v>0</v>
      </c>
      <c r="Q8" s="59">
        <f t="shared" si="9"/>
        <v>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5"/>
      <c r="B9" s="32"/>
      <c r="C9" s="7" t="s">
        <v>669</v>
      </c>
      <c r="D9" s="55">
        <v>515</v>
      </c>
      <c r="E9" s="55">
        <v>1802500</v>
      </c>
      <c r="F9" s="55"/>
      <c r="G9" s="55"/>
      <c r="H9" s="34" t="str">
        <f t="shared" si="0"/>
        <v>Discon</v>
      </c>
      <c r="I9" s="33">
        <f t="shared" si="1"/>
        <v>3500</v>
      </c>
      <c r="J9" s="33">
        <f t="shared" si="2"/>
        <v>0</v>
      </c>
      <c r="K9" s="63">
        <f t="shared" si="3"/>
        <v>-1802500</v>
      </c>
      <c r="L9" s="34">
        <f t="shared" si="4"/>
        <v>0</v>
      </c>
      <c r="M9" s="33">
        <f t="shared" si="5"/>
        <v>0</v>
      </c>
      <c r="N9" s="33">
        <f t="shared" si="6"/>
        <v>0</v>
      </c>
      <c r="O9" s="33">
        <f t="shared" si="7"/>
        <v>0</v>
      </c>
      <c r="P9" s="35">
        <f t="shared" si="8"/>
        <v>-1802500</v>
      </c>
      <c r="Q9" s="59">
        <f t="shared" si="9"/>
        <v>0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5"/>
      <c r="B10" s="32"/>
      <c r="C10" s="7" t="s">
        <v>672</v>
      </c>
      <c r="D10" s="55"/>
      <c r="E10" s="55"/>
      <c r="F10" s="55">
        <v>424</v>
      </c>
      <c r="G10" s="55">
        <v>2247200</v>
      </c>
      <c r="H10" s="34" t="str">
        <f t="shared" si="0"/>
        <v>New</v>
      </c>
      <c r="I10" s="33">
        <f t="shared" si="1"/>
        <v>0</v>
      </c>
      <c r="J10" s="33">
        <f t="shared" si="2"/>
        <v>5300</v>
      </c>
      <c r="K10" s="63">
        <f t="shared" si="3"/>
        <v>2247200</v>
      </c>
      <c r="L10" s="34">
        <f t="shared" si="4"/>
        <v>0</v>
      </c>
      <c r="M10" s="33">
        <f t="shared" si="5"/>
        <v>0</v>
      </c>
      <c r="N10" s="33">
        <f t="shared" si="6"/>
        <v>0</v>
      </c>
      <c r="O10" s="33">
        <f t="shared" si="7"/>
        <v>2247200</v>
      </c>
      <c r="P10" s="35">
        <f t="shared" si="8"/>
        <v>0</v>
      </c>
      <c r="Q10" s="59">
        <f t="shared" si="9"/>
        <v>0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5"/>
      <c r="B11" s="32" t="s">
        <v>6</v>
      </c>
      <c r="C11" s="7" t="s">
        <v>668</v>
      </c>
      <c r="D11" s="55">
        <v>405</v>
      </c>
      <c r="E11" s="55">
        <v>1822500</v>
      </c>
      <c r="F11" s="55">
        <v>569</v>
      </c>
      <c r="G11" s="55">
        <v>2332900</v>
      </c>
      <c r="H11" s="34" t="str">
        <f t="shared" si="0"/>
        <v>Active</v>
      </c>
      <c r="I11" s="33">
        <f t="shared" si="1"/>
        <v>4500</v>
      </c>
      <c r="J11" s="33">
        <f t="shared" si="2"/>
        <v>4100</v>
      </c>
      <c r="K11" s="63">
        <f t="shared" si="3"/>
        <v>510400</v>
      </c>
      <c r="L11" s="34">
        <f t="shared" si="4"/>
        <v>-227600</v>
      </c>
      <c r="M11" s="33">
        <f t="shared" si="5"/>
        <v>215741.26268320181</v>
      </c>
      <c r="N11" s="33">
        <f t="shared" si="6"/>
        <v>522258.73731679801</v>
      </c>
      <c r="O11" s="33">
        <f t="shared" si="7"/>
        <v>0</v>
      </c>
      <c r="P11" s="35">
        <f t="shared" si="8"/>
        <v>0</v>
      </c>
      <c r="Q11" s="59">
        <f t="shared" si="9"/>
        <v>0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5"/>
      <c r="B12" s="32"/>
      <c r="C12" s="7" t="s">
        <v>670</v>
      </c>
      <c r="D12" s="55">
        <v>403</v>
      </c>
      <c r="E12" s="55">
        <v>1209000</v>
      </c>
      <c r="F12" s="55">
        <v>374</v>
      </c>
      <c r="G12" s="55">
        <v>1309000</v>
      </c>
      <c r="H12" s="34" t="str">
        <f t="shared" si="0"/>
        <v>Active</v>
      </c>
      <c r="I12" s="33">
        <f t="shared" si="1"/>
        <v>3000</v>
      </c>
      <c r="J12" s="33">
        <f t="shared" si="2"/>
        <v>3500</v>
      </c>
      <c r="K12" s="63">
        <f t="shared" si="3"/>
        <v>100000</v>
      </c>
      <c r="L12" s="34">
        <f t="shared" si="4"/>
        <v>187000</v>
      </c>
      <c r="M12" s="33">
        <f t="shared" si="5"/>
        <v>143117.24915445322</v>
      </c>
      <c r="N12" s="33">
        <f t="shared" si="6"/>
        <v>-230117.24915445325</v>
      </c>
      <c r="O12" s="33">
        <f t="shared" si="7"/>
        <v>0</v>
      </c>
      <c r="P12" s="35">
        <f t="shared" si="8"/>
        <v>0</v>
      </c>
      <c r="Q12" s="59">
        <f t="shared" si="9"/>
        <v>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5"/>
      <c r="B13" s="32"/>
      <c r="C13" s="7" t="s">
        <v>671</v>
      </c>
      <c r="D13" s="55">
        <v>295</v>
      </c>
      <c r="E13" s="55">
        <v>590000</v>
      </c>
      <c r="F13" s="55">
        <v>325</v>
      </c>
      <c r="G13" s="55">
        <v>656500</v>
      </c>
      <c r="H13" s="34" t="str">
        <f t="shared" si="0"/>
        <v>Active</v>
      </c>
      <c r="I13" s="33">
        <f t="shared" si="1"/>
        <v>2000</v>
      </c>
      <c r="J13" s="33">
        <f t="shared" si="2"/>
        <v>2020</v>
      </c>
      <c r="K13" s="63">
        <f t="shared" si="3"/>
        <v>66500</v>
      </c>
      <c r="L13" s="34">
        <f t="shared" si="4"/>
        <v>6500</v>
      </c>
      <c r="M13" s="33">
        <f t="shared" si="5"/>
        <v>69842.164599774522</v>
      </c>
      <c r="N13" s="33">
        <f t="shared" si="6"/>
        <v>-9842.1645997745527</v>
      </c>
      <c r="O13" s="33">
        <f t="shared" si="7"/>
        <v>0</v>
      </c>
      <c r="P13" s="35">
        <f t="shared" si="8"/>
        <v>0</v>
      </c>
      <c r="Q13" s="59">
        <f t="shared" si="9"/>
        <v>0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5"/>
      <c r="B14" s="32"/>
      <c r="C14" s="7" t="s">
        <v>669</v>
      </c>
      <c r="D14" s="55">
        <v>417</v>
      </c>
      <c r="E14" s="55">
        <v>1459500</v>
      </c>
      <c r="F14" s="55"/>
      <c r="G14" s="55"/>
      <c r="H14" s="34" t="str">
        <f t="shared" si="0"/>
        <v>Discon</v>
      </c>
      <c r="I14" s="33">
        <f t="shared" si="1"/>
        <v>3500</v>
      </c>
      <c r="J14" s="33">
        <f t="shared" si="2"/>
        <v>0</v>
      </c>
      <c r="K14" s="63">
        <f t="shared" si="3"/>
        <v>-1459500</v>
      </c>
      <c r="L14" s="34">
        <f t="shared" si="4"/>
        <v>0</v>
      </c>
      <c r="M14" s="33">
        <f t="shared" si="5"/>
        <v>0</v>
      </c>
      <c r="N14" s="33">
        <f t="shared" si="6"/>
        <v>0</v>
      </c>
      <c r="O14" s="33">
        <f t="shared" si="7"/>
        <v>0</v>
      </c>
      <c r="P14" s="35">
        <f t="shared" si="8"/>
        <v>-1459500</v>
      </c>
      <c r="Q14" s="59">
        <f t="shared" si="9"/>
        <v>0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5"/>
      <c r="B15" s="32"/>
      <c r="C15" s="7" t="s">
        <v>672</v>
      </c>
      <c r="D15" s="55"/>
      <c r="E15" s="55"/>
      <c r="F15" s="55">
        <v>463</v>
      </c>
      <c r="G15" s="55">
        <v>2453900</v>
      </c>
      <c r="H15" s="34" t="str">
        <f t="shared" si="0"/>
        <v>New</v>
      </c>
      <c r="I15" s="33">
        <f t="shared" si="1"/>
        <v>0</v>
      </c>
      <c r="J15" s="33">
        <f t="shared" si="2"/>
        <v>5300</v>
      </c>
      <c r="K15" s="63">
        <f t="shared" si="3"/>
        <v>2453900</v>
      </c>
      <c r="L15" s="34">
        <f t="shared" si="4"/>
        <v>0</v>
      </c>
      <c r="M15" s="33">
        <f t="shared" si="5"/>
        <v>0</v>
      </c>
      <c r="N15" s="33">
        <f t="shared" si="6"/>
        <v>0</v>
      </c>
      <c r="O15" s="33">
        <f t="shared" si="7"/>
        <v>2453900</v>
      </c>
      <c r="P15" s="35">
        <f t="shared" si="8"/>
        <v>0</v>
      </c>
      <c r="Q15" s="59">
        <f t="shared" si="9"/>
        <v>0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5"/>
      <c r="B16" s="32" t="s">
        <v>8</v>
      </c>
      <c r="C16" s="7" t="s">
        <v>668</v>
      </c>
      <c r="D16" s="55">
        <v>402</v>
      </c>
      <c r="E16" s="55">
        <v>1809000</v>
      </c>
      <c r="F16" s="55">
        <v>546</v>
      </c>
      <c r="G16" s="55">
        <v>2238600</v>
      </c>
      <c r="H16" s="34" t="str">
        <f t="shared" si="0"/>
        <v>Active</v>
      </c>
      <c r="I16" s="33">
        <f t="shared" si="1"/>
        <v>4500</v>
      </c>
      <c r="J16" s="33">
        <f t="shared" si="2"/>
        <v>4100</v>
      </c>
      <c r="K16" s="63">
        <f t="shared" si="3"/>
        <v>429600</v>
      </c>
      <c r="L16" s="34">
        <f t="shared" si="4"/>
        <v>-218400</v>
      </c>
      <c r="M16" s="33">
        <f t="shared" si="5"/>
        <v>214143.17925591883</v>
      </c>
      <c r="N16" s="33">
        <f t="shared" si="6"/>
        <v>433856.82074408123</v>
      </c>
      <c r="O16" s="33">
        <f t="shared" si="7"/>
        <v>0</v>
      </c>
      <c r="P16" s="35">
        <f t="shared" si="8"/>
        <v>0</v>
      </c>
      <c r="Q16" s="59">
        <f t="shared" si="9"/>
        <v>0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5"/>
      <c r="B17" s="32"/>
      <c r="C17" s="7" t="s">
        <v>670</v>
      </c>
      <c r="D17" s="55">
        <v>365</v>
      </c>
      <c r="E17" s="55">
        <v>1095000</v>
      </c>
      <c r="F17" s="55">
        <v>519</v>
      </c>
      <c r="G17" s="55">
        <v>1816500</v>
      </c>
      <c r="H17" s="34" t="str">
        <f t="shared" si="0"/>
        <v>Active</v>
      </c>
      <c r="I17" s="33">
        <f t="shared" si="1"/>
        <v>3000</v>
      </c>
      <c r="J17" s="33">
        <f t="shared" si="2"/>
        <v>3500</v>
      </c>
      <c r="K17" s="63">
        <f t="shared" si="3"/>
        <v>721500</v>
      </c>
      <c r="L17" s="34">
        <f t="shared" si="4"/>
        <v>259500</v>
      </c>
      <c r="M17" s="33">
        <f t="shared" si="5"/>
        <v>129622.32243517475</v>
      </c>
      <c r="N17" s="33">
        <f t="shared" si="6"/>
        <v>332377.67756482528</v>
      </c>
      <c r="O17" s="33">
        <f t="shared" si="7"/>
        <v>0</v>
      </c>
      <c r="P17" s="35">
        <f t="shared" si="8"/>
        <v>0</v>
      </c>
      <c r="Q17" s="59">
        <f t="shared" si="9"/>
        <v>0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5"/>
      <c r="B18" s="32"/>
      <c r="C18" s="7" t="s">
        <v>671</v>
      </c>
      <c r="D18" s="55">
        <v>399</v>
      </c>
      <c r="E18" s="55">
        <v>798000</v>
      </c>
      <c r="F18" s="55">
        <v>344</v>
      </c>
      <c r="G18" s="55">
        <v>694880</v>
      </c>
      <c r="H18" s="34" t="str">
        <f t="shared" si="0"/>
        <v>Active</v>
      </c>
      <c r="I18" s="33">
        <f t="shared" si="1"/>
        <v>2000</v>
      </c>
      <c r="J18" s="33">
        <f t="shared" si="2"/>
        <v>2020</v>
      </c>
      <c r="K18" s="63">
        <f t="shared" si="3"/>
        <v>-103120</v>
      </c>
      <c r="L18" s="34">
        <f t="shared" si="4"/>
        <v>6880</v>
      </c>
      <c r="M18" s="33">
        <f t="shared" si="5"/>
        <v>94464.48703494927</v>
      </c>
      <c r="N18" s="33">
        <f t="shared" si="6"/>
        <v>-204464.48703494924</v>
      </c>
      <c r="O18" s="33">
        <f t="shared" si="7"/>
        <v>0</v>
      </c>
      <c r="P18" s="35">
        <f t="shared" si="8"/>
        <v>0</v>
      </c>
      <c r="Q18" s="59">
        <f t="shared" si="9"/>
        <v>0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5"/>
      <c r="B19" s="32"/>
      <c r="C19" s="7" t="s">
        <v>669</v>
      </c>
      <c r="D19" s="55">
        <v>350</v>
      </c>
      <c r="E19" s="55">
        <v>1225000</v>
      </c>
      <c r="F19" s="55"/>
      <c r="G19" s="55"/>
      <c r="H19" s="34" t="str">
        <f t="shared" si="0"/>
        <v>Discon</v>
      </c>
      <c r="I19" s="33">
        <f t="shared" si="1"/>
        <v>3500</v>
      </c>
      <c r="J19" s="33">
        <f t="shared" si="2"/>
        <v>0</v>
      </c>
      <c r="K19" s="63">
        <f t="shared" si="3"/>
        <v>-1225000</v>
      </c>
      <c r="L19" s="34">
        <f t="shared" si="4"/>
        <v>0</v>
      </c>
      <c r="M19" s="33">
        <f t="shared" si="5"/>
        <v>0</v>
      </c>
      <c r="N19" s="33">
        <f t="shared" si="6"/>
        <v>0</v>
      </c>
      <c r="O19" s="33">
        <f t="shared" si="7"/>
        <v>0</v>
      </c>
      <c r="P19" s="35">
        <f t="shared" si="8"/>
        <v>-1225000</v>
      </c>
      <c r="Q19" s="59">
        <f t="shared" si="9"/>
        <v>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5"/>
      <c r="B20" s="32"/>
      <c r="C20" s="7" t="s">
        <v>672</v>
      </c>
      <c r="D20" s="55"/>
      <c r="E20" s="55"/>
      <c r="F20" s="55">
        <v>300</v>
      </c>
      <c r="G20" s="55">
        <v>1590000</v>
      </c>
      <c r="H20" s="34" t="str">
        <f t="shared" si="0"/>
        <v>New</v>
      </c>
      <c r="I20" s="33">
        <f t="shared" si="1"/>
        <v>0</v>
      </c>
      <c r="J20" s="33">
        <f t="shared" si="2"/>
        <v>5300</v>
      </c>
      <c r="K20" s="63">
        <f t="shared" si="3"/>
        <v>1590000</v>
      </c>
      <c r="L20" s="34">
        <f t="shared" si="4"/>
        <v>0</v>
      </c>
      <c r="M20" s="33">
        <f t="shared" si="5"/>
        <v>0</v>
      </c>
      <c r="N20" s="33">
        <f t="shared" si="6"/>
        <v>0</v>
      </c>
      <c r="O20" s="33">
        <f t="shared" si="7"/>
        <v>1590000</v>
      </c>
      <c r="P20" s="35">
        <f t="shared" si="8"/>
        <v>0</v>
      </c>
      <c r="Q20" s="59">
        <f t="shared" si="9"/>
        <v>0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5"/>
      <c r="B21" s="32" t="s">
        <v>4</v>
      </c>
      <c r="C21" s="7" t="s">
        <v>668</v>
      </c>
      <c r="D21" s="55">
        <v>368</v>
      </c>
      <c r="E21" s="55">
        <v>1656000</v>
      </c>
      <c r="F21" s="55">
        <v>522</v>
      </c>
      <c r="G21" s="55">
        <v>2140200</v>
      </c>
      <c r="H21" s="34" t="str">
        <f t="shared" si="0"/>
        <v>Active</v>
      </c>
      <c r="I21" s="33">
        <f t="shared" si="1"/>
        <v>4500</v>
      </c>
      <c r="J21" s="33">
        <f t="shared" si="2"/>
        <v>4100</v>
      </c>
      <c r="K21" s="63">
        <f t="shared" si="3"/>
        <v>484200</v>
      </c>
      <c r="L21" s="34">
        <f t="shared" si="4"/>
        <v>-208800</v>
      </c>
      <c r="M21" s="33">
        <f t="shared" si="5"/>
        <v>196031.56708004509</v>
      </c>
      <c r="N21" s="33">
        <f t="shared" si="6"/>
        <v>496968.43291995511</v>
      </c>
      <c r="O21" s="33">
        <f t="shared" si="7"/>
        <v>0</v>
      </c>
      <c r="P21" s="35">
        <f t="shared" si="8"/>
        <v>0</v>
      </c>
      <c r="Q21" s="59">
        <f t="shared" si="9"/>
        <v>0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5"/>
      <c r="B22" s="32"/>
      <c r="C22" s="7" t="s">
        <v>670</v>
      </c>
      <c r="D22" s="55">
        <v>413</v>
      </c>
      <c r="E22" s="55">
        <v>1239000</v>
      </c>
      <c r="F22" s="55">
        <v>524</v>
      </c>
      <c r="G22" s="55">
        <v>1834000</v>
      </c>
      <c r="H22" s="34" t="str">
        <f t="shared" si="0"/>
        <v>Active</v>
      </c>
      <c r="I22" s="33">
        <f t="shared" si="1"/>
        <v>3000</v>
      </c>
      <c r="J22" s="33">
        <f t="shared" si="2"/>
        <v>3500</v>
      </c>
      <c r="K22" s="63">
        <f t="shared" si="3"/>
        <v>595000</v>
      </c>
      <c r="L22" s="34">
        <f t="shared" si="4"/>
        <v>262000</v>
      </c>
      <c r="M22" s="33">
        <f t="shared" si="5"/>
        <v>146668.54565952648</v>
      </c>
      <c r="N22" s="33">
        <f t="shared" si="6"/>
        <v>186331.45434047352</v>
      </c>
      <c r="O22" s="33">
        <f t="shared" si="7"/>
        <v>0</v>
      </c>
      <c r="P22" s="35">
        <f t="shared" si="8"/>
        <v>0</v>
      </c>
      <c r="Q22" s="59">
        <f t="shared" si="9"/>
        <v>0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5"/>
      <c r="B23" s="32"/>
      <c r="C23" s="7" t="s">
        <v>671</v>
      </c>
      <c r="D23" s="55">
        <v>545</v>
      </c>
      <c r="E23" s="55">
        <v>1090000</v>
      </c>
      <c r="F23" s="55">
        <v>285</v>
      </c>
      <c r="G23" s="55">
        <v>575700</v>
      </c>
      <c r="H23" s="34" t="str">
        <f t="shared" si="0"/>
        <v>Active</v>
      </c>
      <c r="I23" s="33">
        <f t="shared" si="1"/>
        <v>2000</v>
      </c>
      <c r="J23" s="33">
        <f t="shared" si="2"/>
        <v>2020</v>
      </c>
      <c r="K23" s="63">
        <f t="shared" si="3"/>
        <v>-514300</v>
      </c>
      <c r="L23" s="34">
        <f t="shared" si="4"/>
        <v>5700</v>
      </c>
      <c r="M23" s="33">
        <f t="shared" si="5"/>
        <v>129030.43968432921</v>
      </c>
      <c r="N23" s="33">
        <f t="shared" si="6"/>
        <v>-649030.43968432921</v>
      </c>
      <c r="O23" s="33">
        <f t="shared" si="7"/>
        <v>0</v>
      </c>
      <c r="P23" s="35">
        <f t="shared" si="8"/>
        <v>0</v>
      </c>
      <c r="Q23" s="59">
        <f t="shared" si="9"/>
        <v>0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5"/>
      <c r="B24" s="32"/>
      <c r="C24" s="7" t="s">
        <v>669</v>
      </c>
      <c r="D24" s="55">
        <v>268</v>
      </c>
      <c r="E24" s="55">
        <v>938000</v>
      </c>
      <c r="F24" s="55"/>
      <c r="G24" s="55"/>
      <c r="H24" s="34" t="str">
        <f t="shared" si="0"/>
        <v>Discon</v>
      </c>
      <c r="I24" s="33">
        <f t="shared" si="1"/>
        <v>3500</v>
      </c>
      <c r="J24" s="33">
        <f t="shared" si="2"/>
        <v>0</v>
      </c>
      <c r="K24" s="63">
        <f t="shared" si="3"/>
        <v>-938000</v>
      </c>
      <c r="L24" s="34">
        <f t="shared" si="4"/>
        <v>0</v>
      </c>
      <c r="M24" s="33">
        <f t="shared" si="5"/>
        <v>0</v>
      </c>
      <c r="N24" s="33">
        <f t="shared" si="6"/>
        <v>0</v>
      </c>
      <c r="O24" s="33">
        <f t="shared" si="7"/>
        <v>0</v>
      </c>
      <c r="P24" s="35">
        <f t="shared" si="8"/>
        <v>-938000</v>
      </c>
      <c r="Q24" s="59">
        <f t="shared" si="9"/>
        <v>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5"/>
      <c r="B25" s="32"/>
      <c r="C25" s="7" t="s">
        <v>672</v>
      </c>
      <c r="D25" s="55"/>
      <c r="E25" s="55"/>
      <c r="F25" s="55">
        <v>443</v>
      </c>
      <c r="G25" s="55">
        <v>2347900</v>
      </c>
      <c r="H25" s="34" t="str">
        <f t="shared" si="0"/>
        <v>New</v>
      </c>
      <c r="I25" s="33">
        <f t="shared" si="1"/>
        <v>0</v>
      </c>
      <c r="J25" s="33">
        <f t="shared" si="2"/>
        <v>5300</v>
      </c>
      <c r="K25" s="63">
        <f t="shared" si="3"/>
        <v>2347900</v>
      </c>
      <c r="L25" s="34">
        <f t="shared" si="4"/>
        <v>0</v>
      </c>
      <c r="M25" s="33">
        <f t="shared" si="5"/>
        <v>0</v>
      </c>
      <c r="N25" s="33">
        <f t="shared" si="6"/>
        <v>0</v>
      </c>
      <c r="O25" s="33">
        <f t="shared" si="7"/>
        <v>2347900</v>
      </c>
      <c r="P25" s="35">
        <f t="shared" si="8"/>
        <v>0</v>
      </c>
      <c r="Q25" s="59">
        <f t="shared" si="9"/>
        <v>0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5"/>
      <c r="B26" s="32" t="s">
        <v>10</v>
      </c>
      <c r="C26" s="7" t="s">
        <v>668</v>
      </c>
      <c r="D26" s="55">
        <v>314</v>
      </c>
      <c r="E26" s="55">
        <v>1413000</v>
      </c>
      <c r="F26" s="55">
        <v>443</v>
      </c>
      <c r="G26" s="55">
        <v>1816300</v>
      </c>
      <c r="H26" s="34" t="str">
        <f t="shared" si="0"/>
        <v>Active</v>
      </c>
      <c r="I26" s="33">
        <f t="shared" si="1"/>
        <v>4500</v>
      </c>
      <c r="J26" s="33">
        <f t="shared" si="2"/>
        <v>4100</v>
      </c>
      <c r="K26" s="63">
        <f t="shared" si="3"/>
        <v>403300</v>
      </c>
      <c r="L26" s="34">
        <f t="shared" si="4"/>
        <v>-177200</v>
      </c>
      <c r="M26" s="33">
        <f t="shared" si="5"/>
        <v>167266.06538895151</v>
      </c>
      <c r="N26" s="33">
        <f t="shared" si="6"/>
        <v>413233.93461104855</v>
      </c>
      <c r="O26" s="33">
        <f t="shared" si="7"/>
        <v>0</v>
      </c>
      <c r="P26" s="35">
        <f t="shared" si="8"/>
        <v>0</v>
      </c>
      <c r="Q26" s="59">
        <f t="shared" si="9"/>
        <v>0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5"/>
      <c r="B27" s="32"/>
      <c r="C27" s="7" t="s">
        <v>670</v>
      </c>
      <c r="D27" s="55">
        <v>440</v>
      </c>
      <c r="E27" s="55">
        <v>1320000</v>
      </c>
      <c r="F27" s="55">
        <v>504</v>
      </c>
      <c r="G27" s="55">
        <v>1764000</v>
      </c>
      <c r="H27" s="34" t="str">
        <f t="shared" si="0"/>
        <v>Active</v>
      </c>
      <c r="I27" s="33">
        <f t="shared" si="1"/>
        <v>3000</v>
      </c>
      <c r="J27" s="33">
        <f t="shared" si="2"/>
        <v>3500</v>
      </c>
      <c r="K27" s="63">
        <f t="shared" si="3"/>
        <v>444000</v>
      </c>
      <c r="L27" s="34">
        <f t="shared" si="4"/>
        <v>252000</v>
      </c>
      <c r="M27" s="33">
        <f t="shared" si="5"/>
        <v>156257.04622322434</v>
      </c>
      <c r="N27" s="33">
        <f t="shared" si="6"/>
        <v>35742.953776775612</v>
      </c>
      <c r="O27" s="33">
        <f t="shared" si="7"/>
        <v>0</v>
      </c>
      <c r="P27" s="35">
        <f t="shared" si="8"/>
        <v>0</v>
      </c>
      <c r="Q27" s="59">
        <f t="shared" si="9"/>
        <v>0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5"/>
      <c r="B28" s="32"/>
      <c r="C28" s="7" t="s">
        <v>671</v>
      </c>
      <c r="D28" s="55">
        <v>347</v>
      </c>
      <c r="E28" s="55">
        <v>694000</v>
      </c>
      <c r="F28" s="55">
        <v>374</v>
      </c>
      <c r="G28" s="55">
        <v>755480</v>
      </c>
      <c r="H28" s="34" t="str">
        <f t="shared" si="0"/>
        <v>Active</v>
      </c>
      <c r="I28" s="33">
        <f t="shared" si="1"/>
        <v>2000</v>
      </c>
      <c r="J28" s="33">
        <f t="shared" si="2"/>
        <v>2020</v>
      </c>
      <c r="K28" s="63">
        <f t="shared" si="3"/>
        <v>61480</v>
      </c>
      <c r="L28" s="34">
        <f t="shared" si="4"/>
        <v>7480</v>
      </c>
      <c r="M28" s="33">
        <f t="shared" si="5"/>
        <v>82153.325817361896</v>
      </c>
      <c r="N28" s="33">
        <f t="shared" si="6"/>
        <v>-28153.325817361925</v>
      </c>
      <c r="O28" s="33">
        <f t="shared" si="7"/>
        <v>0</v>
      </c>
      <c r="P28" s="35">
        <f t="shared" si="8"/>
        <v>0</v>
      </c>
      <c r="Q28" s="59">
        <f t="shared" si="9"/>
        <v>0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5"/>
      <c r="B29" s="32"/>
      <c r="C29" s="7" t="s">
        <v>669</v>
      </c>
      <c r="D29" s="55">
        <v>497</v>
      </c>
      <c r="E29" s="55">
        <v>1739500</v>
      </c>
      <c r="F29" s="55"/>
      <c r="G29" s="55"/>
      <c r="H29" s="34" t="str">
        <f t="shared" si="0"/>
        <v>Discon</v>
      </c>
      <c r="I29" s="33">
        <f t="shared" si="1"/>
        <v>3500</v>
      </c>
      <c r="J29" s="33">
        <f t="shared" si="2"/>
        <v>0</v>
      </c>
      <c r="K29" s="63">
        <f t="shared" si="3"/>
        <v>-1739500</v>
      </c>
      <c r="L29" s="34">
        <f t="shared" si="4"/>
        <v>0</v>
      </c>
      <c r="M29" s="33">
        <f t="shared" si="5"/>
        <v>0</v>
      </c>
      <c r="N29" s="33">
        <f t="shared" si="6"/>
        <v>0</v>
      </c>
      <c r="O29" s="33">
        <f t="shared" si="7"/>
        <v>0</v>
      </c>
      <c r="P29" s="35">
        <f t="shared" si="8"/>
        <v>-1739500</v>
      </c>
      <c r="Q29" s="59">
        <f t="shared" si="9"/>
        <v>0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5"/>
      <c r="B30" s="32"/>
      <c r="C30" s="7" t="s">
        <v>672</v>
      </c>
      <c r="D30" s="55"/>
      <c r="E30" s="55"/>
      <c r="F30" s="55">
        <v>466</v>
      </c>
      <c r="G30" s="55">
        <v>2469800</v>
      </c>
      <c r="H30" s="34" t="str">
        <f t="shared" si="0"/>
        <v>New</v>
      </c>
      <c r="I30" s="33">
        <f t="shared" si="1"/>
        <v>0</v>
      </c>
      <c r="J30" s="33">
        <f t="shared" si="2"/>
        <v>5300</v>
      </c>
      <c r="K30" s="63">
        <f t="shared" si="3"/>
        <v>2469800</v>
      </c>
      <c r="L30" s="34">
        <f t="shared" si="4"/>
        <v>0</v>
      </c>
      <c r="M30" s="33">
        <f t="shared" si="5"/>
        <v>0</v>
      </c>
      <c r="N30" s="33">
        <f t="shared" si="6"/>
        <v>0</v>
      </c>
      <c r="O30" s="33">
        <f t="shared" si="7"/>
        <v>2469800</v>
      </c>
      <c r="P30" s="35">
        <f t="shared" si="8"/>
        <v>0</v>
      </c>
      <c r="Q30" s="59">
        <f t="shared" si="9"/>
        <v>0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A31" s="5"/>
      <c r="B31" s="32" t="s">
        <v>16</v>
      </c>
      <c r="C31" s="7" t="s">
        <v>668</v>
      </c>
      <c r="D31" s="55">
        <v>351</v>
      </c>
      <c r="E31" s="55">
        <v>1579500</v>
      </c>
      <c r="F31" s="55">
        <v>480</v>
      </c>
      <c r="G31" s="55">
        <v>1968000</v>
      </c>
      <c r="H31" s="34" t="str">
        <f t="shared" si="0"/>
        <v>Active</v>
      </c>
      <c r="I31" s="33">
        <f t="shared" si="1"/>
        <v>4500</v>
      </c>
      <c r="J31" s="33">
        <f t="shared" si="2"/>
        <v>4100</v>
      </c>
      <c r="K31" s="63">
        <f t="shared" si="3"/>
        <v>388500</v>
      </c>
      <c r="L31" s="34">
        <f t="shared" si="4"/>
        <v>-192000</v>
      </c>
      <c r="M31" s="33">
        <f t="shared" si="5"/>
        <v>186975.76099210823</v>
      </c>
      <c r="N31" s="33">
        <f t="shared" si="6"/>
        <v>393524.23900789185</v>
      </c>
      <c r="O31" s="33">
        <f t="shared" si="7"/>
        <v>0</v>
      </c>
      <c r="P31" s="35">
        <f t="shared" si="8"/>
        <v>0</v>
      </c>
      <c r="Q31" s="59">
        <f t="shared" si="9"/>
        <v>0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25">
      <c r="A32" s="5"/>
      <c r="B32" s="32"/>
      <c r="C32" s="7" t="s">
        <v>670</v>
      </c>
      <c r="D32" s="55">
        <v>472</v>
      </c>
      <c r="E32" s="55">
        <v>1416000</v>
      </c>
      <c r="F32" s="55">
        <v>328</v>
      </c>
      <c r="G32" s="55">
        <v>1148000</v>
      </c>
      <c r="H32" s="34" t="str">
        <f t="shared" si="0"/>
        <v>Active</v>
      </c>
      <c r="I32" s="33">
        <f t="shared" si="1"/>
        <v>3000</v>
      </c>
      <c r="J32" s="33">
        <f t="shared" si="2"/>
        <v>3500</v>
      </c>
      <c r="K32" s="63">
        <f t="shared" si="3"/>
        <v>-268000</v>
      </c>
      <c r="L32" s="34">
        <f t="shared" si="4"/>
        <v>164000</v>
      </c>
      <c r="M32" s="33">
        <f t="shared" si="5"/>
        <v>167621.19503945886</v>
      </c>
      <c r="N32" s="33">
        <f t="shared" si="6"/>
        <v>-599621.19503945881</v>
      </c>
      <c r="O32" s="33">
        <f t="shared" si="7"/>
        <v>0</v>
      </c>
      <c r="P32" s="35">
        <f t="shared" si="8"/>
        <v>0</v>
      </c>
      <c r="Q32" s="59">
        <f t="shared" si="9"/>
        <v>0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25">
      <c r="A33" s="5"/>
      <c r="B33" s="32"/>
      <c r="C33" s="7" t="s">
        <v>671</v>
      </c>
      <c r="D33" s="55">
        <v>444</v>
      </c>
      <c r="E33" s="55">
        <v>888000</v>
      </c>
      <c r="F33" s="55">
        <v>446</v>
      </c>
      <c r="G33" s="55">
        <v>900920</v>
      </c>
      <c r="H33" s="34" t="str">
        <f t="shared" si="0"/>
        <v>Active</v>
      </c>
      <c r="I33" s="33">
        <f t="shared" si="1"/>
        <v>2000</v>
      </c>
      <c r="J33" s="33">
        <f t="shared" si="2"/>
        <v>2020</v>
      </c>
      <c r="K33" s="63">
        <f t="shared" si="3"/>
        <v>12920</v>
      </c>
      <c r="L33" s="34">
        <f t="shared" si="4"/>
        <v>8920</v>
      </c>
      <c r="M33" s="33">
        <f t="shared" si="5"/>
        <v>105118.37655016911</v>
      </c>
      <c r="N33" s="33">
        <f t="shared" si="6"/>
        <v>-101118.37655016911</v>
      </c>
      <c r="O33" s="33">
        <f t="shared" si="7"/>
        <v>0</v>
      </c>
      <c r="P33" s="35">
        <f t="shared" si="8"/>
        <v>0</v>
      </c>
      <c r="Q33" s="59">
        <f t="shared" si="9"/>
        <v>0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25">
      <c r="A34" s="5"/>
      <c r="B34" s="32"/>
      <c r="C34" s="7" t="s">
        <v>669</v>
      </c>
      <c r="D34" s="55">
        <v>314</v>
      </c>
      <c r="E34" s="55">
        <v>1099000</v>
      </c>
      <c r="F34" s="55"/>
      <c r="G34" s="55"/>
      <c r="H34" s="34" t="str">
        <f t="shared" si="0"/>
        <v>Discon</v>
      </c>
      <c r="I34" s="33">
        <f t="shared" si="1"/>
        <v>3500</v>
      </c>
      <c r="J34" s="33">
        <f t="shared" si="2"/>
        <v>0</v>
      </c>
      <c r="K34" s="63">
        <f t="shared" si="3"/>
        <v>-1099000</v>
      </c>
      <c r="L34" s="34">
        <f t="shared" si="4"/>
        <v>0</v>
      </c>
      <c r="M34" s="33">
        <f t="shared" si="5"/>
        <v>0</v>
      </c>
      <c r="N34" s="33">
        <f t="shared" si="6"/>
        <v>0</v>
      </c>
      <c r="O34" s="33">
        <f t="shared" si="7"/>
        <v>0</v>
      </c>
      <c r="P34" s="35">
        <f t="shared" si="8"/>
        <v>-1099000</v>
      </c>
      <c r="Q34" s="59">
        <f t="shared" si="9"/>
        <v>0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25">
      <c r="A35" s="5"/>
      <c r="B35" s="32"/>
      <c r="C35" s="7" t="s">
        <v>672</v>
      </c>
      <c r="D35" s="55"/>
      <c r="E35" s="55"/>
      <c r="F35" s="55">
        <v>486</v>
      </c>
      <c r="G35" s="55">
        <v>2575800</v>
      </c>
      <c r="H35" s="34" t="str">
        <f t="shared" si="0"/>
        <v>New</v>
      </c>
      <c r="I35" s="33">
        <f t="shared" si="1"/>
        <v>0</v>
      </c>
      <c r="J35" s="33">
        <f t="shared" si="2"/>
        <v>5300</v>
      </c>
      <c r="K35" s="63">
        <f t="shared" si="3"/>
        <v>2575800</v>
      </c>
      <c r="L35" s="34">
        <f t="shared" si="4"/>
        <v>0</v>
      </c>
      <c r="M35" s="33">
        <f t="shared" si="5"/>
        <v>0</v>
      </c>
      <c r="N35" s="33">
        <f t="shared" si="6"/>
        <v>0</v>
      </c>
      <c r="O35" s="33">
        <f t="shared" si="7"/>
        <v>2575800</v>
      </c>
      <c r="P35" s="35">
        <f t="shared" si="8"/>
        <v>0</v>
      </c>
      <c r="Q35" s="59">
        <f t="shared" si="9"/>
        <v>0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25">
      <c r="A36" s="5"/>
      <c r="B36" s="32" t="s">
        <v>12</v>
      </c>
      <c r="C36" s="7" t="s">
        <v>668</v>
      </c>
      <c r="D36" s="55">
        <v>322</v>
      </c>
      <c r="E36" s="55">
        <v>1449000</v>
      </c>
      <c r="F36" s="55">
        <v>443</v>
      </c>
      <c r="G36" s="55">
        <v>1816300</v>
      </c>
      <c r="H36" s="34" t="str">
        <f t="shared" si="0"/>
        <v>Active</v>
      </c>
      <c r="I36" s="33">
        <f t="shared" si="1"/>
        <v>4500</v>
      </c>
      <c r="J36" s="33">
        <f t="shared" si="2"/>
        <v>4100</v>
      </c>
      <c r="K36" s="63">
        <f t="shared" si="3"/>
        <v>367300</v>
      </c>
      <c r="L36" s="34">
        <f t="shared" si="4"/>
        <v>-177200</v>
      </c>
      <c r="M36" s="33">
        <f t="shared" si="5"/>
        <v>171527.62119503945</v>
      </c>
      <c r="N36" s="33">
        <f t="shared" si="6"/>
        <v>372972.37880496064</v>
      </c>
      <c r="O36" s="33">
        <f t="shared" si="7"/>
        <v>0</v>
      </c>
      <c r="P36" s="35">
        <f t="shared" si="8"/>
        <v>0</v>
      </c>
      <c r="Q36" s="59">
        <f t="shared" si="9"/>
        <v>0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25">
      <c r="A37" s="5"/>
      <c r="B37" s="32"/>
      <c r="C37" s="7" t="s">
        <v>670</v>
      </c>
      <c r="D37" s="55">
        <v>224</v>
      </c>
      <c r="E37" s="55">
        <v>672000</v>
      </c>
      <c r="F37" s="55">
        <v>280</v>
      </c>
      <c r="G37" s="55">
        <v>980000</v>
      </c>
      <c r="H37" s="34" t="str">
        <f t="shared" si="0"/>
        <v>Active</v>
      </c>
      <c r="I37" s="33">
        <f t="shared" si="1"/>
        <v>3000</v>
      </c>
      <c r="J37" s="33">
        <f t="shared" si="2"/>
        <v>3500</v>
      </c>
      <c r="K37" s="63">
        <f t="shared" si="3"/>
        <v>308000</v>
      </c>
      <c r="L37" s="34">
        <f t="shared" si="4"/>
        <v>140000</v>
      </c>
      <c r="M37" s="33">
        <f t="shared" si="5"/>
        <v>79549.041713641491</v>
      </c>
      <c r="N37" s="33">
        <f t="shared" si="6"/>
        <v>88450.958286358538</v>
      </c>
      <c r="O37" s="33">
        <f t="shared" si="7"/>
        <v>0</v>
      </c>
      <c r="P37" s="35">
        <f t="shared" si="8"/>
        <v>0</v>
      </c>
      <c r="Q37" s="59">
        <f t="shared" si="9"/>
        <v>0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x14ac:dyDescent="0.25">
      <c r="A38" s="5"/>
      <c r="B38" s="32"/>
      <c r="C38" s="7" t="s">
        <v>671</v>
      </c>
      <c r="D38" s="55">
        <v>475</v>
      </c>
      <c r="E38" s="55">
        <v>950000</v>
      </c>
      <c r="F38" s="55">
        <v>479</v>
      </c>
      <c r="G38" s="55">
        <v>967580</v>
      </c>
      <c r="H38" s="34" t="str">
        <f t="shared" si="0"/>
        <v>Active</v>
      </c>
      <c r="I38" s="33">
        <f t="shared" si="1"/>
        <v>2000</v>
      </c>
      <c r="J38" s="33">
        <f t="shared" si="2"/>
        <v>2020</v>
      </c>
      <c r="K38" s="63">
        <f t="shared" si="3"/>
        <v>17580</v>
      </c>
      <c r="L38" s="34">
        <f t="shared" si="4"/>
        <v>9580</v>
      </c>
      <c r="M38" s="33">
        <f t="shared" si="5"/>
        <v>112457.72266065389</v>
      </c>
      <c r="N38" s="33">
        <f t="shared" si="6"/>
        <v>-104457.72266065393</v>
      </c>
      <c r="O38" s="33">
        <f t="shared" si="7"/>
        <v>0</v>
      </c>
      <c r="P38" s="35">
        <f t="shared" si="8"/>
        <v>0</v>
      </c>
      <c r="Q38" s="59">
        <f t="shared" si="9"/>
        <v>4.3655745685100555E-11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x14ac:dyDescent="0.25">
      <c r="A39" s="5"/>
      <c r="B39" s="32"/>
      <c r="C39" s="7" t="s">
        <v>669</v>
      </c>
      <c r="D39" s="55">
        <v>371</v>
      </c>
      <c r="E39" s="55">
        <v>1298500</v>
      </c>
      <c r="F39" s="55"/>
      <c r="G39" s="55"/>
      <c r="H39" s="34" t="str">
        <f t="shared" si="0"/>
        <v>Discon</v>
      </c>
      <c r="I39" s="33">
        <f t="shared" si="1"/>
        <v>3500</v>
      </c>
      <c r="J39" s="33">
        <f t="shared" si="2"/>
        <v>0</v>
      </c>
      <c r="K39" s="63">
        <f t="shared" si="3"/>
        <v>-1298500</v>
      </c>
      <c r="L39" s="34">
        <f t="shared" si="4"/>
        <v>0</v>
      </c>
      <c r="M39" s="33">
        <f t="shared" si="5"/>
        <v>0</v>
      </c>
      <c r="N39" s="33">
        <f t="shared" si="6"/>
        <v>0</v>
      </c>
      <c r="O39" s="33">
        <f t="shared" si="7"/>
        <v>0</v>
      </c>
      <c r="P39" s="35">
        <f t="shared" si="8"/>
        <v>-1298500</v>
      </c>
      <c r="Q39" s="59">
        <f t="shared" si="9"/>
        <v>0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x14ac:dyDescent="0.25">
      <c r="A40" s="5"/>
      <c r="B40" s="14"/>
      <c r="C40" s="36" t="s">
        <v>672</v>
      </c>
      <c r="D40" s="37"/>
      <c r="E40" s="37"/>
      <c r="F40" s="37">
        <v>367</v>
      </c>
      <c r="G40" s="37">
        <v>1945100</v>
      </c>
      <c r="H40" s="38" t="str">
        <f t="shared" si="0"/>
        <v>New</v>
      </c>
      <c r="I40" s="37">
        <f t="shared" si="1"/>
        <v>0</v>
      </c>
      <c r="J40" s="37">
        <f t="shared" si="2"/>
        <v>5300</v>
      </c>
      <c r="K40" s="64">
        <f t="shared" si="3"/>
        <v>1945100</v>
      </c>
      <c r="L40" s="38">
        <f t="shared" si="4"/>
        <v>0</v>
      </c>
      <c r="M40" s="37">
        <f t="shared" si="5"/>
        <v>0</v>
      </c>
      <c r="N40" s="37">
        <f t="shared" si="6"/>
        <v>0</v>
      </c>
      <c r="O40" s="37">
        <f t="shared" si="7"/>
        <v>1945100</v>
      </c>
      <c r="P40" s="39">
        <f t="shared" si="8"/>
        <v>0</v>
      </c>
      <c r="Q40" s="59">
        <f t="shared" si="9"/>
        <v>0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x14ac:dyDescent="0.25">
      <c r="A41" s="5"/>
      <c r="B41" s="11"/>
      <c r="C41" s="17"/>
      <c r="D41" s="40">
        <f t="shared" ref="D41:J41" si="10">SUM(D6:D40)</f>
        <v>10644</v>
      </c>
      <c r="E41" s="40">
        <f t="shared" si="10"/>
        <v>34132000</v>
      </c>
      <c r="F41" s="40">
        <f t="shared" si="10"/>
        <v>11904</v>
      </c>
      <c r="G41" s="40">
        <f t="shared" si="10"/>
        <v>45240440</v>
      </c>
      <c r="H41" s="41">
        <f t="shared" si="10"/>
        <v>0</v>
      </c>
      <c r="I41" s="40">
        <f t="shared" si="10"/>
        <v>91000</v>
      </c>
      <c r="J41" s="40">
        <f t="shared" si="10"/>
        <v>104440</v>
      </c>
      <c r="K41" s="65">
        <f>SUM(K6:K40)</f>
        <v>11108440</v>
      </c>
      <c r="L41" s="41">
        <f>SUM(L6:L40)</f>
        <v>90240</v>
      </c>
      <c r="M41" s="40">
        <f t="shared" ref="M41:P41" si="11">SUM(M6:M40)</f>
        <v>2908511.8376550167</v>
      </c>
      <c r="N41" s="40">
        <f t="shared" si="11"/>
        <v>2041988.1623449826</v>
      </c>
      <c r="O41" s="40">
        <f t="shared" si="11"/>
        <v>15629700</v>
      </c>
      <c r="P41" s="42">
        <f t="shared" si="11"/>
        <v>-9562000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x14ac:dyDescent="0.25">
      <c r="A42" s="5"/>
      <c r="B42" s="32"/>
      <c r="D42" s="55"/>
      <c r="E42" s="55"/>
      <c r="F42" s="55"/>
      <c r="G42" s="55"/>
      <c r="H42" s="55"/>
      <c r="I42" s="55"/>
      <c r="J42" s="55"/>
      <c r="K42" s="55"/>
      <c r="L42" s="33"/>
      <c r="M42" s="33"/>
      <c r="N42" s="33"/>
      <c r="O42" s="55"/>
      <c r="P42" s="56">
        <f>SUM(L41:P41)</f>
        <v>11108440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x14ac:dyDescent="0.25">
      <c r="A43" s="5"/>
      <c r="B43" s="72" t="s">
        <v>687</v>
      </c>
      <c r="C43" s="73"/>
      <c r="L43" s="43"/>
      <c r="P43" s="56">
        <f>+K41-P42</f>
        <v>0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x14ac:dyDescent="0.25">
      <c r="A44" s="5"/>
      <c r="B44" s="32"/>
      <c r="L44" s="43"/>
      <c r="P44" s="57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x14ac:dyDescent="0.25">
      <c r="A45" s="5"/>
      <c r="B45" s="44" t="s">
        <v>683</v>
      </c>
      <c r="C45" s="45">
        <f>+E41</f>
        <v>34132000</v>
      </c>
      <c r="L45" s="43"/>
      <c r="P45" s="57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x14ac:dyDescent="0.25">
      <c r="A46" s="5"/>
      <c r="B46" s="46" t="s">
        <v>677</v>
      </c>
      <c r="C46" s="47">
        <f>+L41</f>
        <v>90240</v>
      </c>
      <c r="H46" s="48">
        <f t="shared" ref="H46:K46" si="12">+Q41</f>
        <v>0</v>
      </c>
      <c r="I46" s="48">
        <f t="shared" si="12"/>
        <v>0</v>
      </c>
      <c r="J46" s="48">
        <f t="shared" si="12"/>
        <v>0</v>
      </c>
      <c r="K46" s="48">
        <f t="shared" si="12"/>
        <v>0</v>
      </c>
      <c r="L46" s="43"/>
      <c r="P46" s="57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x14ac:dyDescent="0.25">
      <c r="A47" s="5"/>
      <c r="B47" s="49" t="s">
        <v>678</v>
      </c>
      <c r="C47" s="47">
        <f>+M41</f>
        <v>2908511.8376550167</v>
      </c>
      <c r="L47" s="43"/>
      <c r="P47" s="57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x14ac:dyDescent="0.25">
      <c r="A48" s="5"/>
      <c r="B48" s="49" t="s">
        <v>679</v>
      </c>
      <c r="C48" s="47">
        <f>+N41</f>
        <v>2041988.1623449826</v>
      </c>
      <c r="L48" s="43"/>
      <c r="P48" s="5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x14ac:dyDescent="0.25">
      <c r="A49" s="5"/>
      <c r="B49" s="49" t="s">
        <v>675</v>
      </c>
      <c r="C49" s="47">
        <f>+O41</f>
        <v>15629700</v>
      </c>
      <c r="L49" s="43"/>
      <c r="P49" s="5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x14ac:dyDescent="0.25">
      <c r="A50" s="5"/>
      <c r="B50" s="49" t="s">
        <v>676</v>
      </c>
      <c r="C50" s="47">
        <f>+P41</f>
        <v>-9562000</v>
      </c>
      <c r="L50" s="43"/>
      <c r="P50" s="5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x14ac:dyDescent="0.25">
      <c r="A51" s="5"/>
      <c r="B51" s="50" t="s">
        <v>684</v>
      </c>
      <c r="C51" s="51">
        <f>SUM(C45:C50)</f>
        <v>45240440</v>
      </c>
      <c r="L51" s="43"/>
      <c r="P51" s="5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x14ac:dyDescent="0.25">
      <c r="A52" s="5"/>
      <c r="B52" s="32"/>
      <c r="L52" s="43"/>
      <c r="P52" s="5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x14ac:dyDescent="0.25">
      <c r="A53" s="5"/>
      <c r="B53" s="32"/>
      <c r="L53" s="43"/>
      <c r="P53" s="5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x14ac:dyDescent="0.25">
      <c r="A54" s="5"/>
      <c r="B54" s="32"/>
      <c r="L54" s="43"/>
      <c r="P54" s="5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x14ac:dyDescent="0.25">
      <c r="A55" s="5"/>
      <c r="B55" s="32"/>
      <c r="L55" s="43"/>
      <c r="P55" s="5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x14ac:dyDescent="0.25">
      <c r="A56" s="5"/>
      <c r="B56" s="32"/>
      <c r="L56" s="43"/>
      <c r="P56" s="5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x14ac:dyDescent="0.25">
      <c r="A57" s="5"/>
      <c r="B57" s="14"/>
      <c r="C57" s="36"/>
      <c r="D57" s="36"/>
      <c r="E57" s="36"/>
      <c r="F57" s="36"/>
      <c r="G57" s="36"/>
      <c r="H57" s="36"/>
      <c r="I57" s="36"/>
      <c r="J57" s="36"/>
      <c r="K57" s="36"/>
      <c r="L57" s="52"/>
      <c r="M57" s="36"/>
      <c r="N57" s="36"/>
      <c r="O57" s="36"/>
      <c r="P57" s="15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53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53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53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53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53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53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53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53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53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53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53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53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53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5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53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5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53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5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53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53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53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53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53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53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53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53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53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53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53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53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53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53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53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53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53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53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53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53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53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53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53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53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53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53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53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53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53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53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53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53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53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53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53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53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53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53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53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53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53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53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53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53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53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53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53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53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53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53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53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53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53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53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53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53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53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53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53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53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53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53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53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53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53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53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53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53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53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53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53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53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53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53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53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53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53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53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53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53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53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53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53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53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53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53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53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53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53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53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53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53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53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53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53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53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53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53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53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53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53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53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53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53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53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53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53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53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53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53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53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53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53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53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53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53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53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53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53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53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53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53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53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53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53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53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53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53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53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53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53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53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53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53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53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53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53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53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53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53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53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53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53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53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53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53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53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53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53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53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53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53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53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53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53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53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53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53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53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53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53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53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53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53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53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53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53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53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53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53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53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53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53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53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53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53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53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</sheetData>
  <autoFilter ref="H5:P43" xr:uid="{0F11767E-50C1-4BE8-890C-C716B1E900B3}"/>
  <mergeCells count="4">
    <mergeCell ref="B1:P1"/>
    <mergeCell ref="B2:P2"/>
    <mergeCell ref="B43:C43"/>
    <mergeCell ref="L3:P4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CE17-D4A9-45D8-976C-1AA116CAE719}">
  <dimension ref="B3:H650"/>
  <sheetViews>
    <sheetView workbookViewId="0">
      <selection activeCell="K15" sqref="K15"/>
    </sheetView>
  </sheetViews>
  <sheetFormatPr defaultRowHeight="14.4" x14ac:dyDescent="0.3"/>
  <cols>
    <col min="2" max="2" width="13.33203125" customWidth="1"/>
    <col min="3" max="3" width="18.44140625" customWidth="1"/>
    <col min="4" max="4" width="15.6640625" bestFit="1" customWidth="1"/>
    <col min="5" max="5" width="10.5546875" bestFit="1" customWidth="1"/>
    <col min="8" max="8" width="14.33203125" style="4" bestFit="1" customWidth="1"/>
  </cols>
  <sheetData>
    <row r="3" spans="2:8" ht="28.8" x14ac:dyDescent="0.3">
      <c r="B3" s="1" t="s">
        <v>0</v>
      </c>
      <c r="C3" s="1" t="s">
        <v>1</v>
      </c>
      <c r="D3" s="1" t="s">
        <v>2</v>
      </c>
      <c r="E3" s="2" t="s">
        <v>663</v>
      </c>
      <c r="F3" s="1" t="s">
        <v>664</v>
      </c>
      <c r="G3" s="1" t="s">
        <v>665</v>
      </c>
      <c r="H3" s="3" t="s">
        <v>666</v>
      </c>
    </row>
    <row r="4" spans="2:8" x14ac:dyDescent="0.3">
      <c r="B4" t="s">
        <v>3</v>
      </c>
      <c r="C4" t="s">
        <v>688</v>
      </c>
      <c r="D4" t="s">
        <v>4</v>
      </c>
      <c r="E4">
        <v>4</v>
      </c>
      <c r="F4" t="str">
        <f>+CHOOSE(Tbl_2021[[#This Row],[Type of Service]],"PEST","Disinfe","Rodent","Bird","Termite")</f>
        <v>Bird</v>
      </c>
      <c r="G4">
        <v>36</v>
      </c>
      <c r="H4" s="4">
        <f>+CHOOSE(Tbl_2021[[#This Row],[Type of Service]],2020,3500,3200,4100,5300)*Tbl_2021[[#This Row],[No of Visits]]</f>
        <v>147600</v>
      </c>
    </row>
    <row r="5" spans="2:8" x14ac:dyDescent="0.3">
      <c r="B5" t="s">
        <v>5</v>
      </c>
      <c r="C5" t="s">
        <v>689</v>
      </c>
      <c r="D5" t="s">
        <v>6</v>
      </c>
      <c r="E5">
        <v>1</v>
      </c>
      <c r="F5" t="str">
        <f>+CHOOSE(Tbl_2021[[#This Row],[Type of Service]],"PEST","Disinfe","Rodent","Bird","Termite")</f>
        <v>PEST</v>
      </c>
      <c r="G5">
        <v>16</v>
      </c>
      <c r="H5" s="4">
        <f>+CHOOSE(Tbl_2021[[#This Row],[Type of Service]],2020,3500,3200,4100,5300)*Tbl_2021[[#This Row],[No of Visits]]</f>
        <v>32320</v>
      </c>
    </row>
    <row r="6" spans="2:8" x14ac:dyDescent="0.3">
      <c r="B6" t="s">
        <v>7</v>
      </c>
      <c r="C6" t="s">
        <v>690</v>
      </c>
      <c r="D6" t="s">
        <v>8</v>
      </c>
      <c r="E6">
        <v>2</v>
      </c>
      <c r="F6" t="str">
        <f>+CHOOSE(Tbl_2021[[#This Row],[Type of Service]],"PEST","Disinfe","Rodent","Bird","Termite")</f>
        <v>Disinfe</v>
      </c>
      <c r="G6">
        <v>32</v>
      </c>
      <c r="H6" s="4">
        <f>+CHOOSE(Tbl_2021[[#This Row],[Type of Service]],2020,3500,3200,4100,5300)*Tbl_2021[[#This Row],[No of Visits]]</f>
        <v>112000</v>
      </c>
    </row>
    <row r="7" spans="2:8" x14ac:dyDescent="0.3">
      <c r="B7" t="s">
        <v>9</v>
      </c>
      <c r="C7" t="s">
        <v>691</v>
      </c>
      <c r="D7" t="s">
        <v>10</v>
      </c>
      <c r="E7">
        <v>1</v>
      </c>
      <c r="F7" t="str">
        <f>+CHOOSE(Tbl_2021[[#This Row],[Type of Service]],"PEST","Disinfe","Rodent","Bird","Termite")</f>
        <v>PEST</v>
      </c>
      <c r="G7">
        <v>29</v>
      </c>
      <c r="H7" s="4">
        <f>+CHOOSE(Tbl_2021[[#This Row],[Type of Service]],2020,3500,3200,4100,5300)*Tbl_2021[[#This Row],[No of Visits]]</f>
        <v>58580</v>
      </c>
    </row>
    <row r="8" spans="2:8" x14ac:dyDescent="0.3">
      <c r="B8" t="s">
        <v>11</v>
      </c>
      <c r="C8" t="s">
        <v>692</v>
      </c>
      <c r="D8" t="s">
        <v>12</v>
      </c>
      <c r="E8">
        <v>5</v>
      </c>
      <c r="F8" t="str">
        <f>+CHOOSE(Tbl_2021[[#This Row],[Type of Service]],"PEST","Disinfe","Rodent","Bird","Termite")</f>
        <v>Termite</v>
      </c>
      <c r="G8">
        <v>30</v>
      </c>
      <c r="H8" s="4">
        <f>+CHOOSE(Tbl_2021[[#This Row],[Type of Service]],2020,3500,3200,4100,5300)*Tbl_2021[[#This Row],[No of Visits]]</f>
        <v>159000</v>
      </c>
    </row>
    <row r="9" spans="2:8" x14ac:dyDescent="0.3">
      <c r="B9" t="s">
        <v>13</v>
      </c>
      <c r="C9" t="s">
        <v>693</v>
      </c>
      <c r="D9" t="s">
        <v>14</v>
      </c>
      <c r="E9">
        <v>1</v>
      </c>
      <c r="F9" t="str">
        <f>+CHOOSE(Tbl_2021[[#This Row],[Type of Service]],"PEST","Disinfe","Rodent","Bird","Termite")</f>
        <v>PEST</v>
      </c>
      <c r="G9">
        <v>3</v>
      </c>
      <c r="H9" s="4">
        <f>+CHOOSE(Tbl_2021[[#This Row],[Type of Service]],2020,3500,3200,4100,5300)*Tbl_2021[[#This Row],[No of Visits]]</f>
        <v>6060</v>
      </c>
    </row>
    <row r="10" spans="2:8" x14ac:dyDescent="0.3">
      <c r="B10" t="s">
        <v>15</v>
      </c>
      <c r="C10" t="s">
        <v>694</v>
      </c>
      <c r="D10" t="s">
        <v>16</v>
      </c>
      <c r="E10">
        <v>1</v>
      </c>
      <c r="F10" t="str">
        <f>+CHOOSE(Tbl_2021[[#This Row],[Type of Service]],"PEST","Disinfe","Rodent","Bird","Termite")</f>
        <v>PEST</v>
      </c>
      <c r="G10">
        <v>23</v>
      </c>
      <c r="H10" s="4">
        <f>+CHOOSE(Tbl_2021[[#This Row],[Type of Service]],2020,3500,3200,4100,5300)*Tbl_2021[[#This Row],[No of Visits]]</f>
        <v>46460</v>
      </c>
    </row>
    <row r="11" spans="2:8" x14ac:dyDescent="0.3">
      <c r="B11" t="s">
        <v>17</v>
      </c>
      <c r="C11" t="s">
        <v>695</v>
      </c>
      <c r="D11" t="s">
        <v>4</v>
      </c>
      <c r="E11">
        <v>1</v>
      </c>
      <c r="F11" t="str">
        <f>+CHOOSE(Tbl_2021[[#This Row],[Type of Service]],"PEST","Disinfe","Rodent","Bird","Termite")</f>
        <v>PEST</v>
      </c>
      <c r="G11">
        <v>16</v>
      </c>
      <c r="H11" s="4">
        <f>+CHOOSE(Tbl_2021[[#This Row],[Type of Service]],2020,3500,3200,4100,5300)*Tbl_2021[[#This Row],[No of Visits]]</f>
        <v>32320</v>
      </c>
    </row>
    <row r="12" spans="2:8" x14ac:dyDescent="0.3">
      <c r="B12" t="s">
        <v>18</v>
      </c>
      <c r="C12" t="s">
        <v>696</v>
      </c>
      <c r="D12" t="s">
        <v>6</v>
      </c>
      <c r="E12">
        <v>5</v>
      </c>
      <c r="F12" t="str">
        <f>+CHOOSE(Tbl_2021[[#This Row],[Type of Service]],"PEST","Disinfe","Rodent","Bird","Termite")</f>
        <v>Termite</v>
      </c>
      <c r="G12">
        <v>14</v>
      </c>
      <c r="H12" s="4">
        <f>+CHOOSE(Tbl_2021[[#This Row],[Type of Service]],2020,3500,3200,4100,5300)*Tbl_2021[[#This Row],[No of Visits]]</f>
        <v>74200</v>
      </c>
    </row>
    <row r="13" spans="2:8" x14ac:dyDescent="0.3">
      <c r="B13" t="s">
        <v>19</v>
      </c>
      <c r="C13" t="s">
        <v>697</v>
      </c>
      <c r="D13" t="s">
        <v>8</v>
      </c>
      <c r="E13">
        <v>2</v>
      </c>
      <c r="F13" t="str">
        <f>+CHOOSE(Tbl_2021[[#This Row],[Type of Service]],"PEST","Disinfe","Rodent","Bird","Termite")</f>
        <v>Disinfe</v>
      </c>
      <c r="G13">
        <v>31</v>
      </c>
      <c r="H13" s="4">
        <f>+CHOOSE(Tbl_2021[[#This Row],[Type of Service]],2020,3500,3200,4100,5300)*Tbl_2021[[#This Row],[No of Visits]]</f>
        <v>108500</v>
      </c>
    </row>
    <row r="14" spans="2:8" x14ac:dyDescent="0.3">
      <c r="B14" t="s">
        <v>20</v>
      </c>
      <c r="C14" t="s">
        <v>698</v>
      </c>
      <c r="D14" t="s">
        <v>10</v>
      </c>
      <c r="E14">
        <v>2</v>
      </c>
      <c r="F14" t="str">
        <f>+CHOOSE(Tbl_2021[[#This Row],[Type of Service]],"PEST","Disinfe","Rodent","Bird","Termite")</f>
        <v>Disinfe</v>
      </c>
      <c r="G14">
        <v>17</v>
      </c>
      <c r="H14" s="4">
        <f>+CHOOSE(Tbl_2021[[#This Row],[Type of Service]],2020,3500,3200,4100,5300)*Tbl_2021[[#This Row],[No of Visits]]</f>
        <v>59500</v>
      </c>
    </row>
    <row r="15" spans="2:8" x14ac:dyDescent="0.3">
      <c r="B15" t="s">
        <v>21</v>
      </c>
      <c r="C15" t="s">
        <v>699</v>
      </c>
      <c r="D15" t="s">
        <v>12</v>
      </c>
      <c r="E15">
        <v>1</v>
      </c>
      <c r="F15" t="str">
        <f>+CHOOSE(Tbl_2021[[#This Row],[Type of Service]],"PEST","Disinfe","Rodent","Bird","Termite")</f>
        <v>PEST</v>
      </c>
      <c r="G15">
        <v>12</v>
      </c>
      <c r="H15" s="4">
        <f>+CHOOSE(Tbl_2021[[#This Row],[Type of Service]],2020,3500,3200,4100,5300)*Tbl_2021[[#This Row],[No of Visits]]</f>
        <v>24240</v>
      </c>
    </row>
    <row r="16" spans="2:8" x14ac:dyDescent="0.3">
      <c r="B16" t="s">
        <v>22</v>
      </c>
      <c r="C16" t="s">
        <v>700</v>
      </c>
      <c r="D16" t="s">
        <v>14</v>
      </c>
      <c r="E16">
        <v>4</v>
      </c>
      <c r="F16" t="str">
        <f>+CHOOSE(Tbl_2021[[#This Row],[Type of Service]],"PEST","Disinfe","Rodent","Bird","Termite")</f>
        <v>Bird</v>
      </c>
      <c r="G16">
        <v>6</v>
      </c>
      <c r="H16" s="4">
        <f>+CHOOSE(Tbl_2021[[#This Row],[Type of Service]],2020,3500,3200,4100,5300)*Tbl_2021[[#This Row],[No of Visits]]</f>
        <v>24600</v>
      </c>
    </row>
    <row r="17" spans="2:8" x14ac:dyDescent="0.3">
      <c r="B17" t="s">
        <v>23</v>
      </c>
      <c r="C17" t="s">
        <v>701</v>
      </c>
      <c r="D17" t="s">
        <v>16</v>
      </c>
      <c r="E17">
        <v>2</v>
      </c>
      <c r="F17" t="str">
        <f>+CHOOSE(Tbl_2021[[#This Row],[Type of Service]],"PEST","Disinfe","Rodent","Bird","Termite")</f>
        <v>Disinfe</v>
      </c>
      <c r="G17">
        <v>12</v>
      </c>
      <c r="H17" s="4">
        <f>+CHOOSE(Tbl_2021[[#This Row],[Type of Service]],2020,3500,3200,4100,5300)*Tbl_2021[[#This Row],[No of Visits]]</f>
        <v>42000</v>
      </c>
    </row>
    <row r="18" spans="2:8" x14ac:dyDescent="0.3">
      <c r="B18" t="s">
        <v>24</v>
      </c>
      <c r="C18" t="s">
        <v>702</v>
      </c>
      <c r="D18" t="s">
        <v>4</v>
      </c>
      <c r="E18">
        <v>2</v>
      </c>
      <c r="F18" t="str">
        <f>+CHOOSE(Tbl_2021[[#This Row],[Type of Service]],"PEST","Disinfe","Rodent","Bird","Termite")</f>
        <v>Disinfe</v>
      </c>
      <c r="G18">
        <v>27</v>
      </c>
      <c r="H18" s="4">
        <f>+CHOOSE(Tbl_2021[[#This Row],[Type of Service]],2020,3500,3200,4100,5300)*Tbl_2021[[#This Row],[No of Visits]]</f>
        <v>94500</v>
      </c>
    </row>
    <row r="19" spans="2:8" x14ac:dyDescent="0.3">
      <c r="B19" t="s">
        <v>25</v>
      </c>
      <c r="C19" t="s">
        <v>703</v>
      </c>
      <c r="D19" t="s">
        <v>6</v>
      </c>
      <c r="E19">
        <v>2</v>
      </c>
      <c r="F19" t="str">
        <f>+CHOOSE(Tbl_2021[[#This Row],[Type of Service]],"PEST","Disinfe","Rodent","Bird","Termite")</f>
        <v>Disinfe</v>
      </c>
      <c r="G19">
        <v>36</v>
      </c>
      <c r="H19" s="4">
        <f>+CHOOSE(Tbl_2021[[#This Row],[Type of Service]],2020,3500,3200,4100,5300)*Tbl_2021[[#This Row],[No of Visits]]</f>
        <v>126000</v>
      </c>
    </row>
    <row r="20" spans="2:8" x14ac:dyDescent="0.3">
      <c r="B20" t="s">
        <v>26</v>
      </c>
      <c r="C20" t="s">
        <v>704</v>
      </c>
      <c r="D20" t="s">
        <v>8</v>
      </c>
      <c r="E20">
        <v>1</v>
      </c>
      <c r="F20" t="str">
        <f>+CHOOSE(Tbl_2021[[#This Row],[Type of Service]],"PEST","Disinfe","Rodent","Bird","Termite")</f>
        <v>PEST</v>
      </c>
      <c r="G20">
        <v>21</v>
      </c>
      <c r="H20" s="4">
        <f>+CHOOSE(Tbl_2021[[#This Row],[Type of Service]],2020,3500,3200,4100,5300)*Tbl_2021[[#This Row],[No of Visits]]</f>
        <v>42420</v>
      </c>
    </row>
    <row r="21" spans="2:8" x14ac:dyDescent="0.3">
      <c r="B21" t="s">
        <v>27</v>
      </c>
      <c r="C21" t="s">
        <v>705</v>
      </c>
      <c r="D21" t="s">
        <v>10</v>
      </c>
      <c r="E21">
        <v>1</v>
      </c>
      <c r="F21" t="str">
        <f>+CHOOSE(Tbl_2021[[#This Row],[Type of Service]],"PEST","Disinfe","Rodent","Bird","Termite")</f>
        <v>PEST</v>
      </c>
      <c r="G21">
        <v>6</v>
      </c>
      <c r="H21" s="4">
        <f>+CHOOSE(Tbl_2021[[#This Row],[Type of Service]],2020,3500,3200,4100,5300)*Tbl_2021[[#This Row],[No of Visits]]</f>
        <v>12120</v>
      </c>
    </row>
    <row r="22" spans="2:8" x14ac:dyDescent="0.3">
      <c r="B22" t="s">
        <v>28</v>
      </c>
      <c r="C22" t="s">
        <v>706</v>
      </c>
      <c r="D22" t="s">
        <v>12</v>
      </c>
      <c r="E22">
        <v>1</v>
      </c>
      <c r="F22" t="str">
        <f>+CHOOSE(Tbl_2021[[#This Row],[Type of Service]],"PEST","Disinfe","Rodent","Bird","Termite")</f>
        <v>PEST</v>
      </c>
      <c r="G22">
        <v>24</v>
      </c>
      <c r="H22" s="4">
        <f>+CHOOSE(Tbl_2021[[#This Row],[Type of Service]],2020,3500,3200,4100,5300)*Tbl_2021[[#This Row],[No of Visits]]</f>
        <v>48480</v>
      </c>
    </row>
    <row r="23" spans="2:8" x14ac:dyDescent="0.3">
      <c r="B23" t="s">
        <v>29</v>
      </c>
      <c r="C23" t="s">
        <v>707</v>
      </c>
      <c r="D23" t="s">
        <v>14</v>
      </c>
      <c r="E23">
        <v>2</v>
      </c>
      <c r="F23" t="str">
        <f>+CHOOSE(Tbl_2021[[#This Row],[Type of Service]],"PEST","Disinfe","Rodent","Bird","Termite")</f>
        <v>Disinfe</v>
      </c>
      <c r="G23">
        <v>19</v>
      </c>
      <c r="H23" s="4">
        <f>+CHOOSE(Tbl_2021[[#This Row],[Type of Service]],2020,3500,3200,4100,5300)*Tbl_2021[[#This Row],[No of Visits]]</f>
        <v>66500</v>
      </c>
    </row>
    <row r="24" spans="2:8" x14ac:dyDescent="0.3">
      <c r="B24" t="s">
        <v>30</v>
      </c>
      <c r="C24" t="s">
        <v>708</v>
      </c>
      <c r="D24" t="s">
        <v>16</v>
      </c>
      <c r="E24">
        <v>1</v>
      </c>
      <c r="F24" t="str">
        <f>+CHOOSE(Tbl_2021[[#This Row],[Type of Service]],"PEST","Disinfe","Rodent","Bird","Termite")</f>
        <v>PEST</v>
      </c>
      <c r="G24">
        <v>35</v>
      </c>
      <c r="H24" s="4">
        <f>+CHOOSE(Tbl_2021[[#This Row],[Type of Service]],2020,3500,3200,4100,5300)*Tbl_2021[[#This Row],[No of Visits]]</f>
        <v>70700</v>
      </c>
    </row>
    <row r="25" spans="2:8" x14ac:dyDescent="0.3">
      <c r="B25" t="s">
        <v>31</v>
      </c>
      <c r="C25" t="s">
        <v>709</v>
      </c>
      <c r="D25" t="s">
        <v>4</v>
      </c>
      <c r="E25">
        <v>5</v>
      </c>
      <c r="F25" t="str">
        <f>+CHOOSE(Tbl_2021[[#This Row],[Type of Service]],"PEST","Disinfe","Rodent","Bird","Termite")</f>
        <v>Termite</v>
      </c>
      <c r="G25">
        <v>23</v>
      </c>
      <c r="H25" s="4">
        <f>+CHOOSE(Tbl_2021[[#This Row],[Type of Service]],2020,3500,3200,4100,5300)*Tbl_2021[[#This Row],[No of Visits]]</f>
        <v>121900</v>
      </c>
    </row>
    <row r="26" spans="2:8" x14ac:dyDescent="0.3">
      <c r="B26" t="s">
        <v>32</v>
      </c>
      <c r="C26" t="s">
        <v>710</v>
      </c>
      <c r="D26" t="s">
        <v>6</v>
      </c>
      <c r="E26">
        <v>1</v>
      </c>
      <c r="F26" t="str">
        <f>+CHOOSE(Tbl_2021[[#This Row],[Type of Service]],"PEST","Disinfe","Rodent","Bird","Termite")</f>
        <v>PEST</v>
      </c>
      <c r="G26">
        <v>14</v>
      </c>
      <c r="H26" s="4">
        <f>+CHOOSE(Tbl_2021[[#This Row],[Type of Service]],2020,3500,3200,4100,5300)*Tbl_2021[[#This Row],[No of Visits]]</f>
        <v>28280</v>
      </c>
    </row>
    <row r="27" spans="2:8" x14ac:dyDescent="0.3">
      <c r="B27" t="s">
        <v>33</v>
      </c>
      <c r="C27" t="s">
        <v>711</v>
      </c>
      <c r="D27" t="s">
        <v>8</v>
      </c>
      <c r="E27">
        <v>1</v>
      </c>
      <c r="F27" t="str">
        <f>+CHOOSE(Tbl_2021[[#This Row],[Type of Service]],"PEST","Disinfe","Rodent","Bird","Termite")</f>
        <v>PEST</v>
      </c>
      <c r="G27">
        <v>34</v>
      </c>
      <c r="H27" s="4">
        <f>+CHOOSE(Tbl_2021[[#This Row],[Type of Service]],2020,3500,3200,4100,5300)*Tbl_2021[[#This Row],[No of Visits]]</f>
        <v>68680</v>
      </c>
    </row>
    <row r="28" spans="2:8" x14ac:dyDescent="0.3">
      <c r="B28" t="s">
        <v>34</v>
      </c>
      <c r="C28" t="s">
        <v>712</v>
      </c>
      <c r="D28" t="s">
        <v>10</v>
      </c>
      <c r="E28">
        <v>2</v>
      </c>
      <c r="F28" t="str">
        <f>+CHOOSE(Tbl_2021[[#This Row],[Type of Service]],"PEST","Disinfe","Rodent","Bird","Termite")</f>
        <v>Disinfe</v>
      </c>
      <c r="G28">
        <v>31</v>
      </c>
      <c r="H28" s="4">
        <f>+CHOOSE(Tbl_2021[[#This Row],[Type of Service]],2020,3500,3200,4100,5300)*Tbl_2021[[#This Row],[No of Visits]]</f>
        <v>108500</v>
      </c>
    </row>
    <row r="29" spans="2:8" x14ac:dyDescent="0.3">
      <c r="B29" t="s">
        <v>35</v>
      </c>
      <c r="C29" t="s">
        <v>713</v>
      </c>
      <c r="D29" t="s">
        <v>12</v>
      </c>
      <c r="E29">
        <v>1</v>
      </c>
      <c r="F29" t="str">
        <f>+CHOOSE(Tbl_2021[[#This Row],[Type of Service]],"PEST","Disinfe","Rodent","Bird","Termite")</f>
        <v>PEST</v>
      </c>
      <c r="G29">
        <v>14</v>
      </c>
      <c r="H29" s="4">
        <f>+CHOOSE(Tbl_2021[[#This Row],[Type of Service]],2020,3500,3200,4100,5300)*Tbl_2021[[#This Row],[No of Visits]]</f>
        <v>28280</v>
      </c>
    </row>
    <row r="30" spans="2:8" x14ac:dyDescent="0.3">
      <c r="B30" t="s">
        <v>36</v>
      </c>
      <c r="C30" t="s">
        <v>714</v>
      </c>
      <c r="D30" t="s">
        <v>14</v>
      </c>
      <c r="E30">
        <v>1</v>
      </c>
      <c r="F30" t="str">
        <f>+CHOOSE(Tbl_2021[[#This Row],[Type of Service]],"PEST","Disinfe","Rodent","Bird","Termite")</f>
        <v>PEST</v>
      </c>
      <c r="G30">
        <v>24</v>
      </c>
      <c r="H30" s="4">
        <f>+CHOOSE(Tbl_2021[[#This Row],[Type of Service]],2020,3500,3200,4100,5300)*Tbl_2021[[#This Row],[No of Visits]]</f>
        <v>48480</v>
      </c>
    </row>
    <row r="31" spans="2:8" x14ac:dyDescent="0.3">
      <c r="B31" t="s">
        <v>37</v>
      </c>
      <c r="C31" t="s">
        <v>715</v>
      </c>
      <c r="D31" t="s">
        <v>16</v>
      </c>
      <c r="E31">
        <v>5</v>
      </c>
      <c r="F31" t="str">
        <f>+CHOOSE(Tbl_2021[[#This Row],[Type of Service]],"PEST","Disinfe","Rodent","Bird","Termite")</f>
        <v>Termite</v>
      </c>
      <c r="G31">
        <v>23</v>
      </c>
      <c r="H31" s="4">
        <f>+CHOOSE(Tbl_2021[[#This Row],[Type of Service]],2020,3500,3200,4100,5300)*Tbl_2021[[#This Row],[No of Visits]]</f>
        <v>121900</v>
      </c>
    </row>
    <row r="32" spans="2:8" x14ac:dyDescent="0.3">
      <c r="B32" t="s">
        <v>38</v>
      </c>
      <c r="C32" t="s">
        <v>716</v>
      </c>
      <c r="D32" t="s">
        <v>4</v>
      </c>
      <c r="E32">
        <v>5</v>
      </c>
      <c r="F32" t="str">
        <f>+CHOOSE(Tbl_2021[[#This Row],[Type of Service]],"PEST","Disinfe","Rodent","Bird","Termite")</f>
        <v>Termite</v>
      </c>
      <c r="G32">
        <v>19</v>
      </c>
      <c r="H32" s="4">
        <f>+CHOOSE(Tbl_2021[[#This Row],[Type of Service]],2020,3500,3200,4100,5300)*Tbl_2021[[#This Row],[No of Visits]]</f>
        <v>100700</v>
      </c>
    </row>
    <row r="33" spans="2:8" x14ac:dyDescent="0.3">
      <c r="B33" t="s">
        <v>39</v>
      </c>
      <c r="C33" t="s">
        <v>717</v>
      </c>
      <c r="D33" t="s">
        <v>6</v>
      </c>
      <c r="E33">
        <v>4</v>
      </c>
      <c r="F33" t="str">
        <f>+CHOOSE(Tbl_2021[[#This Row],[Type of Service]],"PEST","Disinfe","Rodent","Bird","Termite")</f>
        <v>Bird</v>
      </c>
      <c r="G33">
        <v>18</v>
      </c>
      <c r="H33" s="4">
        <f>+CHOOSE(Tbl_2021[[#This Row],[Type of Service]],2020,3500,3200,4100,5300)*Tbl_2021[[#This Row],[No of Visits]]</f>
        <v>73800</v>
      </c>
    </row>
    <row r="34" spans="2:8" x14ac:dyDescent="0.3">
      <c r="B34" t="s">
        <v>40</v>
      </c>
      <c r="C34" t="s">
        <v>718</v>
      </c>
      <c r="D34" t="s">
        <v>8</v>
      </c>
      <c r="E34">
        <v>4</v>
      </c>
      <c r="F34" t="str">
        <f>+CHOOSE(Tbl_2021[[#This Row],[Type of Service]],"PEST","Disinfe","Rodent","Bird","Termite")</f>
        <v>Bird</v>
      </c>
      <c r="G34">
        <v>21</v>
      </c>
      <c r="H34" s="4">
        <f>+CHOOSE(Tbl_2021[[#This Row],[Type of Service]],2020,3500,3200,4100,5300)*Tbl_2021[[#This Row],[No of Visits]]</f>
        <v>86100</v>
      </c>
    </row>
    <row r="35" spans="2:8" x14ac:dyDescent="0.3">
      <c r="B35" t="s">
        <v>41</v>
      </c>
      <c r="C35" t="s">
        <v>719</v>
      </c>
      <c r="D35" t="s">
        <v>10</v>
      </c>
      <c r="E35">
        <v>1</v>
      </c>
      <c r="F35" t="str">
        <f>+CHOOSE(Tbl_2021[[#This Row],[Type of Service]],"PEST","Disinfe","Rodent","Bird","Termite")</f>
        <v>PEST</v>
      </c>
      <c r="G35">
        <v>11</v>
      </c>
      <c r="H35" s="4">
        <f>+CHOOSE(Tbl_2021[[#This Row],[Type of Service]],2020,3500,3200,4100,5300)*Tbl_2021[[#This Row],[No of Visits]]</f>
        <v>22220</v>
      </c>
    </row>
    <row r="36" spans="2:8" x14ac:dyDescent="0.3">
      <c r="B36" t="s">
        <v>42</v>
      </c>
      <c r="C36" t="s">
        <v>720</v>
      </c>
      <c r="D36" t="s">
        <v>12</v>
      </c>
      <c r="E36">
        <v>5</v>
      </c>
      <c r="F36" t="str">
        <f>+CHOOSE(Tbl_2021[[#This Row],[Type of Service]],"PEST","Disinfe","Rodent","Bird","Termite")</f>
        <v>Termite</v>
      </c>
      <c r="G36">
        <v>22</v>
      </c>
      <c r="H36" s="4">
        <f>+CHOOSE(Tbl_2021[[#This Row],[Type of Service]],2020,3500,3200,4100,5300)*Tbl_2021[[#This Row],[No of Visits]]</f>
        <v>116600</v>
      </c>
    </row>
    <row r="37" spans="2:8" x14ac:dyDescent="0.3">
      <c r="B37" t="s">
        <v>43</v>
      </c>
      <c r="C37" t="s">
        <v>721</v>
      </c>
      <c r="D37" t="s">
        <v>14</v>
      </c>
      <c r="E37">
        <v>1</v>
      </c>
      <c r="F37" t="str">
        <f>+CHOOSE(Tbl_2021[[#This Row],[Type of Service]],"PEST","Disinfe","Rodent","Bird","Termite")</f>
        <v>PEST</v>
      </c>
      <c r="G37">
        <v>7</v>
      </c>
      <c r="H37" s="4">
        <f>+CHOOSE(Tbl_2021[[#This Row],[Type of Service]],2020,3500,3200,4100,5300)*Tbl_2021[[#This Row],[No of Visits]]</f>
        <v>14140</v>
      </c>
    </row>
    <row r="38" spans="2:8" x14ac:dyDescent="0.3">
      <c r="B38" t="s">
        <v>44</v>
      </c>
      <c r="C38" t="s">
        <v>722</v>
      </c>
      <c r="D38" t="s">
        <v>16</v>
      </c>
      <c r="E38">
        <v>1</v>
      </c>
      <c r="F38" t="str">
        <f>+CHOOSE(Tbl_2021[[#This Row],[Type of Service]],"PEST","Disinfe","Rodent","Bird","Termite")</f>
        <v>PEST</v>
      </c>
      <c r="G38">
        <v>24</v>
      </c>
      <c r="H38" s="4">
        <f>+CHOOSE(Tbl_2021[[#This Row],[Type of Service]],2020,3500,3200,4100,5300)*Tbl_2021[[#This Row],[No of Visits]]</f>
        <v>48480</v>
      </c>
    </row>
    <row r="39" spans="2:8" x14ac:dyDescent="0.3">
      <c r="B39" t="s">
        <v>45</v>
      </c>
      <c r="C39" t="s">
        <v>723</v>
      </c>
      <c r="D39" t="s">
        <v>4</v>
      </c>
      <c r="E39">
        <v>2</v>
      </c>
      <c r="F39" t="str">
        <f>+CHOOSE(Tbl_2021[[#This Row],[Type of Service]],"PEST","Disinfe","Rodent","Bird","Termite")</f>
        <v>Disinfe</v>
      </c>
      <c r="G39">
        <v>25</v>
      </c>
      <c r="H39" s="4">
        <f>+CHOOSE(Tbl_2021[[#This Row],[Type of Service]],2020,3500,3200,4100,5300)*Tbl_2021[[#This Row],[No of Visits]]</f>
        <v>87500</v>
      </c>
    </row>
    <row r="40" spans="2:8" x14ac:dyDescent="0.3">
      <c r="B40" t="s">
        <v>46</v>
      </c>
      <c r="C40" t="s">
        <v>724</v>
      </c>
      <c r="D40" t="s">
        <v>6</v>
      </c>
      <c r="E40">
        <v>1</v>
      </c>
      <c r="F40" t="str">
        <f>+CHOOSE(Tbl_2021[[#This Row],[Type of Service]],"PEST","Disinfe","Rodent","Bird","Termite")</f>
        <v>PEST</v>
      </c>
      <c r="G40">
        <v>4</v>
      </c>
      <c r="H40" s="4">
        <f>+CHOOSE(Tbl_2021[[#This Row],[Type of Service]],2020,3500,3200,4100,5300)*Tbl_2021[[#This Row],[No of Visits]]</f>
        <v>8080</v>
      </c>
    </row>
    <row r="41" spans="2:8" x14ac:dyDescent="0.3">
      <c r="B41" t="s">
        <v>47</v>
      </c>
      <c r="C41" t="s">
        <v>725</v>
      </c>
      <c r="D41" t="s">
        <v>8</v>
      </c>
      <c r="E41">
        <v>4</v>
      </c>
      <c r="F41" t="str">
        <f>+CHOOSE(Tbl_2021[[#This Row],[Type of Service]],"PEST","Disinfe","Rodent","Bird","Termite")</f>
        <v>Bird</v>
      </c>
      <c r="G41">
        <v>25</v>
      </c>
      <c r="H41" s="4">
        <f>+CHOOSE(Tbl_2021[[#This Row],[Type of Service]],2020,3500,3200,4100,5300)*Tbl_2021[[#This Row],[No of Visits]]</f>
        <v>102500</v>
      </c>
    </row>
    <row r="42" spans="2:8" x14ac:dyDescent="0.3">
      <c r="B42" t="s">
        <v>48</v>
      </c>
      <c r="C42" t="s">
        <v>726</v>
      </c>
      <c r="D42" t="s">
        <v>10</v>
      </c>
      <c r="E42">
        <v>2</v>
      </c>
      <c r="F42" t="str">
        <f>+CHOOSE(Tbl_2021[[#This Row],[Type of Service]],"PEST","Disinfe","Rodent","Bird","Termite")</f>
        <v>Disinfe</v>
      </c>
      <c r="G42">
        <v>36</v>
      </c>
      <c r="H42" s="4">
        <f>+CHOOSE(Tbl_2021[[#This Row],[Type of Service]],2020,3500,3200,4100,5300)*Tbl_2021[[#This Row],[No of Visits]]</f>
        <v>126000</v>
      </c>
    </row>
    <row r="43" spans="2:8" x14ac:dyDescent="0.3">
      <c r="B43" t="s">
        <v>49</v>
      </c>
      <c r="C43" t="s">
        <v>727</v>
      </c>
      <c r="D43" t="s">
        <v>12</v>
      </c>
      <c r="E43">
        <v>4</v>
      </c>
      <c r="F43" t="str">
        <f>+CHOOSE(Tbl_2021[[#This Row],[Type of Service]],"PEST","Disinfe","Rodent","Bird","Termite")</f>
        <v>Bird</v>
      </c>
      <c r="G43">
        <v>23</v>
      </c>
      <c r="H43" s="4">
        <f>+CHOOSE(Tbl_2021[[#This Row],[Type of Service]],2020,3500,3200,4100,5300)*Tbl_2021[[#This Row],[No of Visits]]</f>
        <v>94300</v>
      </c>
    </row>
    <row r="44" spans="2:8" x14ac:dyDescent="0.3">
      <c r="B44" t="s">
        <v>50</v>
      </c>
      <c r="C44" t="s">
        <v>728</v>
      </c>
      <c r="D44" t="s">
        <v>14</v>
      </c>
      <c r="E44">
        <v>4</v>
      </c>
      <c r="F44" t="str">
        <f>+CHOOSE(Tbl_2021[[#This Row],[Type of Service]],"PEST","Disinfe","Rodent","Bird","Termite")</f>
        <v>Bird</v>
      </c>
      <c r="G44">
        <v>10</v>
      </c>
      <c r="H44" s="4">
        <f>+CHOOSE(Tbl_2021[[#This Row],[Type of Service]],2020,3500,3200,4100,5300)*Tbl_2021[[#This Row],[No of Visits]]</f>
        <v>41000</v>
      </c>
    </row>
    <row r="45" spans="2:8" x14ac:dyDescent="0.3">
      <c r="B45" t="s">
        <v>51</v>
      </c>
      <c r="C45" t="s">
        <v>729</v>
      </c>
      <c r="D45" t="s">
        <v>16</v>
      </c>
      <c r="E45">
        <v>1</v>
      </c>
      <c r="F45" t="str">
        <f>+CHOOSE(Tbl_2021[[#This Row],[Type of Service]],"PEST","Disinfe","Rodent","Bird","Termite")</f>
        <v>PEST</v>
      </c>
      <c r="G45">
        <v>2</v>
      </c>
      <c r="H45" s="4">
        <f>+CHOOSE(Tbl_2021[[#This Row],[Type of Service]],2020,3500,3200,4100,5300)*Tbl_2021[[#This Row],[No of Visits]]</f>
        <v>4040</v>
      </c>
    </row>
    <row r="46" spans="2:8" x14ac:dyDescent="0.3">
      <c r="B46" t="s">
        <v>52</v>
      </c>
      <c r="C46" t="s">
        <v>730</v>
      </c>
      <c r="D46" t="s">
        <v>4</v>
      </c>
      <c r="E46">
        <v>2</v>
      </c>
      <c r="F46" t="str">
        <f>+CHOOSE(Tbl_2021[[#This Row],[Type of Service]],"PEST","Disinfe","Rodent","Bird","Termite")</f>
        <v>Disinfe</v>
      </c>
      <c r="G46">
        <v>36</v>
      </c>
      <c r="H46" s="4">
        <f>+CHOOSE(Tbl_2021[[#This Row],[Type of Service]],2020,3500,3200,4100,5300)*Tbl_2021[[#This Row],[No of Visits]]</f>
        <v>126000</v>
      </c>
    </row>
    <row r="47" spans="2:8" x14ac:dyDescent="0.3">
      <c r="B47" t="s">
        <v>53</v>
      </c>
      <c r="C47" t="s">
        <v>731</v>
      </c>
      <c r="D47" t="s">
        <v>6</v>
      </c>
      <c r="E47">
        <v>1</v>
      </c>
      <c r="F47" t="str">
        <f>+CHOOSE(Tbl_2021[[#This Row],[Type of Service]],"PEST","Disinfe","Rodent","Bird","Termite")</f>
        <v>PEST</v>
      </c>
      <c r="G47">
        <v>3</v>
      </c>
      <c r="H47" s="4">
        <f>+CHOOSE(Tbl_2021[[#This Row],[Type of Service]],2020,3500,3200,4100,5300)*Tbl_2021[[#This Row],[No of Visits]]</f>
        <v>6060</v>
      </c>
    </row>
    <row r="48" spans="2:8" x14ac:dyDescent="0.3">
      <c r="B48" t="s">
        <v>54</v>
      </c>
      <c r="C48" t="s">
        <v>732</v>
      </c>
      <c r="D48" t="s">
        <v>8</v>
      </c>
      <c r="E48">
        <v>4</v>
      </c>
      <c r="F48" t="str">
        <f>+CHOOSE(Tbl_2021[[#This Row],[Type of Service]],"PEST","Disinfe","Rodent","Bird","Termite")</f>
        <v>Bird</v>
      </c>
      <c r="G48">
        <v>5</v>
      </c>
      <c r="H48" s="4">
        <f>+CHOOSE(Tbl_2021[[#This Row],[Type of Service]],2020,3500,3200,4100,5300)*Tbl_2021[[#This Row],[No of Visits]]</f>
        <v>20500</v>
      </c>
    </row>
    <row r="49" spans="2:8" x14ac:dyDescent="0.3">
      <c r="B49" t="s">
        <v>55</v>
      </c>
      <c r="C49" t="s">
        <v>727</v>
      </c>
      <c r="D49" t="s">
        <v>10</v>
      </c>
      <c r="E49">
        <v>4</v>
      </c>
      <c r="F49" t="str">
        <f>+CHOOSE(Tbl_2021[[#This Row],[Type of Service]],"PEST","Disinfe","Rodent","Bird","Termite")</f>
        <v>Bird</v>
      </c>
      <c r="G49">
        <v>17</v>
      </c>
      <c r="H49" s="4">
        <f>+CHOOSE(Tbl_2021[[#This Row],[Type of Service]],2020,3500,3200,4100,5300)*Tbl_2021[[#This Row],[No of Visits]]</f>
        <v>69700</v>
      </c>
    </row>
    <row r="50" spans="2:8" x14ac:dyDescent="0.3">
      <c r="B50" t="s">
        <v>56</v>
      </c>
      <c r="C50" t="s">
        <v>733</v>
      </c>
      <c r="D50" t="s">
        <v>12</v>
      </c>
      <c r="E50">
        <v>1</v>
      </c>
      <c r="F50" t="str">
        <f>+CHOOSE(Tbl_2021[[#This Row],[Type of Service]],"PEST","Disinfe","Rodent","Bird","Termite")</f>
        <v>PEST</v>
      </c>
      <c r="G50">
        <v>3</v>
      </c>
      <c r="H50" s="4">
        <f>+CHOOSE(Tbl_2021[[#This Row],[Type of Service]],2020,3500,3200,4100,5300)*Tbl_2021[[#This Row],[No of Visits]]</f>
        <v>6060</v>
      </c>
    </row>
    <row r="51" spans="2:8" x14ac:dyDescent="0.3">
      <c r="B51" t="s">
        <v>57</v>
      </c>
      <c r="C51" t="s">
        <v>734</v>
      </c>
      <c r="D51" t="s">
        <v>14</v>
      </c>
      <c r="E51">
        <v>5</v>
      </c>
      <c r="F51" t="str">
        <f>+CHOOSE(Tbl_2021[[#This Row],[Type of Service]],"PEST","Disinfe","Rodent","Bird","Termite")</f>
        <v>Termite</v>
      </c>
      <c r="G51">
        <v>16</v>
      </c>
      <c r="H51" s="4">
        <f>+CHOOSE(Tbl_2021[[#This Row],[Type of Service]],2020,3500,3200,4100,5300)*Tbl_2021[[#This Row],[No of Visits]]</f>
        <v>84800</v>
      </c>
    </row>
    <row r="52" spans="2:8" x14ac:dyDescent="0.3">
      <c r="B52" t="s">
        <v>58</v>
      </c>
      <c r="C52" t="s">
        <v>726</v>
      </c>
      <c r="D52" t="s">
        <v>16</v>
      </c>
      <c r="E52">
        <v>5</v>
      </c>
      <c r="F52" t="str">
        <f>+CHOOSE(Tbl_2021[[#This Row],[Type of Service]],"PEST","Disinfe","Rodent","Bird","Termite")</f>
        <v>Termite</v>
      </c>
      <c r="G52">
        <v>27</v>
      </c>
      <c r="H52" s="4">
        <f>+CHOOSE(Tbl_2021[[#This Row],[Type of Service]],2020,3500,3200,4100,5300)*Tbl_2021[[#This Row],[No of Visits]]</f>
        <v>143100</v>
      </c>
    </row>
    <row r="53" spans="2:8" x14ac:dyDescent="0.3">
      <c r="B53" t="s">
        <v>59</v>
      </c>
      <c r="C53" t="s">
        <v>735</v>
      </c>
      <c r="D53" t="s">
        <v>4</v>
      </c>
      <c r="E53">
        <v>1</v>
      </c>
      <c r="F53" t="str">
        <f>+CHOOSE(Tbl_2021[[#This Row],[Type of Service]],"PEST","Disinfe","Rodent","Bird","Termite")</f>
        <v>PEST</v>
      </c>
      <c r="G53">
        <v>26</v>
      </c>
      <c r="H53" s="4">
        <f>+CHOOSE(Tbl_2021[[#This Row],[Type of Service]],2020,3500,3200,4100,5300)*Tbl_2021[[#This Row],[No of Visits]]</f>
        <v>52520</v>
      </c>
    </row>
    <row r="54" spans="2:8" x14ac:dyDescent="0.3">
      <c r="B54" t="s">
        <v>60</v>
      </c>
      <c r="C54" t="s">
        <v>736</v>
      </c>
      <c r="D54" t="s">
        <v>6</v>
      </c>
      <c r="E54">
        <v>5</v>
      </c>
      <c r="F54" t="str">
        <f>+CHOOSE(Tbl_2021[[#This Row],[Type of Service]],"PEST","Disinfe","Rodent","Bird","Termite")</f>
        <v>Termite</v>
      </c>
      <c r="G54">
        <v>28</v>
      </c>
      <c r="H54" s="4">
        <f>+CHOOSE(Tbl_2021[[#This Row],[Type of Service]],2020,3500,3200,4100,5300)*Tbl_2021[[#This Row],[No of Visits]]</f>
        <v>148400</v>
      </c>
    </row>
    <row r="55" spans="2:8" x14ac:dyDescent="0.3">
      <c r="B55" t="s">
        <v>61</v>
      </c>
      <c r="C55" t="s">
        <v>737</v>
      </c>
      <c r="D55" t="s">
        <v>8</v>
      </c>
      <c r="E55">
        <v>1</v>
      </c>
      <c r="F55" t="str">
        <f>+CHOOSE(Tbl_2021[[#This Row],[Type of Service]],"PEST","Disinfe","Rodent","Bird","Termite")</f>
        <v>PEST</v>
      </c>
      <c r="G55">
        <v>14</v>
      </c>
      <c r="H55" s="4">
        <f>+CHOOSE(Tbl_2021[[#This Row],[Type of Service]],2020,3500,3200,4100,5300)*Tbl_2021[[#This Row],[No of Visits]]</f>
        <v>28280</v>
      </c>
    </row>
    <row r="56" spans="2:8" x14ac:dyDescent="0.3">
      <c r="B56" t="s">
        <v>62</v>
      </c>
      <c r="C56" t="s">
        <v>738</v>
      </c>
      <c r="D56" t="s">
        <v>10</v>
      </c>
      <c r="E56">
        <v>4</v>
      </c>
      <c r="F56" t="str">
        <f>+CHOOSE(Tbl_2021[[#This Row],[Type of Service]],"PEST","Disinfe","Rodent","Bird","Termite")</f>
        <v>Bird</v>
      </c>
      <c r="G56">
        <v>26</v>
      </c>
      <c r="H56" s="4">
        <f>+CHOOSE(Tbl_2021[[#This Row],[Type of Service]],2020,3500,3200,4100,5300)*Tbl_2021[[#This Row],[No of Visits]]</f>
        <v>106600</v>
      </c>
    </row>
    <row r="57" spans="2:8" x14ac:dyDescent="0.3">
      <c r="B57" t="s">
        <v>63</v>
      </c>
      <c r="C57" t="s">
        <v>708</v>
      </c>
      <c r="D57" t="s">
        <v>12</v>
      </c>
      <c r="E57">
        <v>1</v>
      </c>
      <c r="F57" t="str">
        <f>+CHOOSE(Tbl_2021[[#This Row],[Type of Service]],"PEST","Disinfe","Rodent","Bird","Termite")</f>
        <v>PEST</v>
      </c>
      <c r="G57">
        <v>19</v>
      </c>
      <c r="H57" s="4">
        <f>+CHOOSE(Tbl_2021[[#This Row],[Type of Service]],2020,3500,3200,4100,5300)*Tbl_2021[[#This Row],[No of Visits]]</f>
        <v>38380</v>
      </c>
    </row>
    <row r="58" spans="2:8" x14ac:dyDescent="0.3">
      <c r="B58" t="s">
        <v>64</v>
      </c>
      <c r="C58" t="s">
        <v>739</v>
      </c>
      <c r="D58" t="s">
        <v>14</v>
      </c>
      <c r="E58">
        <v>1</v>
      </c>
      <c r="F58" t="str">
        <f>+CHOOSE(Tbl_2021[[#This Row],[Type of Service]],"PEST","Disinfe","Rodent","Bird","Termite")</f>
        <v>PEST</v>
      </c>
      <c r="G58">
        <v>1</v>
      </c>
      <c r="H58" s="4">
        <f>+CHOOSE(Tbl_2021[[#This Row],[Type of Service]],2020,3500,3200,4100,5300)*Tbl_2021[[#This Row],[No of Visits]]</f>
        <v>2020</v>
      </c>
    </row>
    <row r="59" spans="2:8" x14ac:dyDescent="0.3">
      <c r="B59" t="s">
        <v>65</v>
      </c>
      <c r="C59" t="s">
        <v>740</v>
      </c>
      <c r="D59" t="s">
        <v>16</v>
      </c>
      <c r="E59">
        <v>1</v>
      </c>
      <c r="F59" t="str">
        <f>+CHOOSE(Tbl_2021[[#This Row],[Type of Service]],"PEST","Disinfe","Rodent","Bird","Termite")</f>
        <v>PEST</v>
      </c>
      <c r="G59">
        <v>33</v>
      </c>
      <c r="H59" s="4">
        <f>+CHOOSE(Tbl_2021[[#This Row],[Type of Service]],2020,3500,3200,4100,5300)*Tbl_2021[[#This Row],[No of Visits]]</f>
        <v>66660</v>
      </c>
    </row>
    <row r="60" spans="2:8" x14ac:dyDescent="0.3">
      <c r="B60" t="s">
        <v>66</v>
      </c>
      <c r="C60" t="s">
        <v>741</v>
      </c>
      <c r="D60" t="s">
        <v>4</v>
      </c>
      <c r="E60">
        <v>4</v>
      </c>
      <c r="F60" t="str">
        <f>+CHOOSE(Tbl_2021[[#This Row],[Type of Service]],"PEST","Disinfe","Rodent","Bird","Termite")</f>
        <v>Bird</v>
      </c>
      <c r="G60">
        <v>29</v>
      </c>
      <c r="H60" s="4">
        <f>+CHOOSE(Tbl_2021[[#This Row],[Type of Service]],2020,3500,3200,4100,5300)*Tbl_2021[[#This Row],[No of Visits]]</f>
        <v>118900</v>
      </c>
    </row>
    <row r="61" spans="2:8" x14ac:dyDescent="0.3">
      <c r="B61" t="s">
        <v>67</v>
      </c>
      <c r="C61" t="s">
        <v>742</v>
      </c>
      <c r="D61" t="s">
        <v>6</v>
      </c>
      <c r="E61">
        <v>2</v>
      </c>
      <c r="F61" t="str">
        <f>+CHOOSE(Tbl_2021[[#This Row],[Type of Service]],"PEST","Disinfe","Rodent","Bird","Termite")</f>
        <v>Disinfe</v>
      </c>
      <c r="G61">
        <v>25</v>
      </c>
      <c r="H61" s="4">
        <f>+CHOOSE(Tbl_2021[[#This Row],[Type of Service]],2020,3500,3200,4100,5300)*Tbl_2021[[#This Row],[No of Visits]]</f>
        <v>87500</v>
      </c>
    </row>
    <row r="62" spans="2:8" x14ac:dyDescent="0.3">
      <c r="B62" t="s">
        <v>68</v>
      </c>
      <c r="C62" t="s">
        <v>743</v>
      </c>
      <c r="D62" t="s">
        <v>8</v>
      </c>
      <c r="E62">
        <v>2</v>
      </c>
      <c r="F62" t="str">
        <f>+CHOOSE(Tbl_2021[[#This Row],[Type of Service]],"PEST","Disinfe","Rodent","Bird","Termite")</f>
        <v>Disinfe</v>
      </c>
      <c r="G62">
        <v>14</v>
      </c>
      <c r="H62" s="4">
        <f>+CHOOSE(Tbl_2021[[#This Row],[Type of Service]],2020,3500,3200,4100,5300)*Tbl_2021[[#This Row],[No of Visits]]</f>
        <v>49000</v>
      </c>
    </row>
    <row r="63" spans="2:8" x14ac:dyDescent="0.3">
      <c r="B63" t="s">
        <v>69</v>
      </c>
      <c r="C63" t="s">
        <v>744</v>
      </c>
      <c r="D63" t="s">
        <v>10</v>
      </c>
      <c r="E63">
        <v>1</v>
      </c>
      <c r="F63" t="str">
        <f>+CHOOSE(Tbl_2021[[#This Row],[Type of Service]],"PEST","Disinfe","Rodent","Bird","Termite")</f>
        <v>PEST</v>
      </c>
      <c r="G63">
        <v>20</v>
      </c>
      <c r="H63" s="4">
        <f>+CHOOSE(Tbl_2021[[#This Row],[Type of Service]],2020,3500,3200,4100,5300)*Tbl_2021[[#This Row],[No of Visits]]</f>
        <v>40400</v>
      </c>
    </row>
    <row r="64" spans="2:8" x14ac:dyDescent="0.3">
      <c r="B64" t="s">
        <v>70</v>
      </c>
      <c r="C64" t="s">
        <v>745</v>
      </c>
      <c r="D64" t="s">
        <v>12</v>
      </c>
      <c r="E64">
        <v>5</v>
      </c>
      <c r="F64" t="str">
        <f>+CHOOSE(Tbl_2021[[#This Row],[Type of Service]],"PEST","Disinfe","Rodent","Bird","Termite")</f>
        <v>Termite</v>
      </c>
      <c r="G64">
        <v>19</v>
      </c>
      <c r="H64" s="4">
        <f>+CHOOSE(Tbl_2021[[#This Row],[Type of Service]],2020,3500,3200,4100,5300)*Tbl_2021[[#This Row],[No of Visits]]</f>
        <v>100700</v>
      </c>
    </row>
    <row r="65" spans="2:8" x14ac:dyDescent="0.3">
      <c r="B65" t="s">
        <v>71</v>
      </c>
      <c r="C65" t="s">
        <v>746</v>
      </c>
      <c r="D65" t="s">
        <v>14</v>
      </c>
      <c r="E65">
        <v>4</v>
      </c>
      <c r="F65" t="str">
        <f>+CHOOSE(Tbl_2021[[#This Row],[Type of Service]],"PEST","Disinfe","Rodent","Bird","Termite")</f>
        <v>Bird</v>
      </c>
      <c r="G65">
        <v>36</v>
      </c>
      <c r="H65" s="4">
        <f>+CHOOSE(Tbl_2021[[#This Row],[Type of Service]],2020,3500,3200,4100,5300)*Tbl_2021[[#This Row],[No of Visits]]</f>
        <v>147600</v>
      </c>
    </row>
    <row r="66" spans="2:8" x14ac:dyDescent="0.3">
      <c r="B66" t="s">
        <v>72</v>
      </c>
      <c r="C66" t="s">
        <v>747</v>
      </c>
      <c r="D66" t="s">
        <v>16</v>
      </c>
      <c r="E66">
        <v>4</v>
      </c>
      <c r="F66" t="str">
        <f>+CHOOSE(Tbl_2021[[#This Row],[Type of Service]],"PEST","Disinfe","Rodent","Bird","Termite")</f>
        <v>Bird</v>
      </c>
      <c r="G66">
        <v>5</v>
      </c>
      <c r="H66" s="4">
        <f>+CHOOSE(Tbl_2021[[#This Row],[Type of Service]],2020,3500,3200,4100,5300)*Tbl_2021[[#This Row],[No of Visits]]</f>
        <v>20500</v>
      </c>
    </row>
    <row r="67" spans="2:8" x14ac:dyDescent="0.3">
      <c r="B67" t="s">
        <v>73</v>
      </c>
      <c r="C67" t="s">
        <v>748</v>
      </c>
      <c r="D67" t="s">
        <v>4</v>
      </c>
      <c r="E67">
        <v>2</v>
      </c>
      <c r="F67" t="str">
        <f>+CHOOSE(Tbl_2021[[#This Row],[Type of Service]],"PEST","Disinfe","Rodent","Bird","Termite")</f>
        <v>Disinfe</v>
      </c>
      <c r="G67">
        <v>22</v>
      </c>
      <c r="H67" s="4">
        <f>+CHOOSE(Tbl_2021[[#This Row],[Type of Service]],2020,3500,3200,4100,5300)*Tbl_2021[[#This Row],[No of Visits]]</f>
        <v>77000</v>
      </c>
    </row>
    <row r="68" spans="2:8" x14ac:dyDescent="0.3">
      <c r="B68" t="s">
        <v>74</v>
      </c>
      <c r="C68" t="s">
        <v>749</v>
      </c>
      <c r="D68" t="s">
        <v>6</v>
      </c>
      <c r="E68">
        <v>2</v>
      </c>
      <c r="F68" t="str">
        <f>+CHOOSE(Tbl_2021[[#This Row],[Type of Service]],"PEST","Disinfe","Rodent","Bird","Termite")</f>
        <v>Disinfe</v>
      </c>
      <c r="G68">
        <v>11</v>
      </c>
      <c r="H68" s="4">
        <f>+CHOOSE(Tbl_2021[[#This Row],[Type of Service]],2020,3500,3200,4100,5300)*Tbl_2021[[#This Row],[No of Visits]]</f>
        <v>38500</v>
      </c>
    </row>
    <row r="69" spans="2:8" x14ac:dyDescent="0.3">
      <c r="B69" t="s">
        <v>75</v>
      </c>
      <c r="C69" t="s">
        <v>750</v>
      </c>
      <c r="D69" t="s">
        <v>8</v>
      </c>
      <c r="E69">
        <v>4</v>
      </c>
      <c r="F69" t="str">
        <f>+CHOOSE(Tbl_2021[[#This Row],[Type of Service]],"PEST","Disinfe","Rodent","Bird","Termite")</f>
        <v>Bird</v>
      </c>
      <c r="G69">
        <v>14</v>
      </c>
      <c r="H69" s="4">
        <f>+CHOOSE(Tbl_2021[[#This Row],[Type of Service]],2020,3500,3200,4100,5300)*Tbl_2021[[#This Row],[No of Visits]]</f>
        <v>57400</v>
      </c>
    </row>
    <row r="70" spans="2:8" x14ac:dyDescent="0.3">
      <c r="B70" t="s">
        <v>76</v>
      </c>
      <c r="C70" t="s">
        <v>77</v>
      </c>
      <c r="D70" t="s">
        <v>10</v>
      </c>
      <c r="E70">
        <v>1</v>
      </c>
      <c r="F70" t="str">
        <f>+CHOOSE(Tbl_2021[[#This Row],[Type of Service]],"PEST","Disinfe","Rodent","Bird","Termite")</f>
        <v>PEST</v>
      </c>
      <c r="G70">
        <v>29</v>
      </c>
      <c r="H70" s="4">
        <f>+CHOOSE(Tbl_2021[[#This Row],[Type of Service]],2020,3500,3200,4100,5300)*Tbl_2021[[#This Row],[No of Visits]]</f>
        <v>58580</v>
      </c>
    </row>
    <row r="71" spans="2:8" x14ac:dyDescent="0.3">
      <c r="B71" t="s">
        <v>78</v>
      </c>
      <c r="C71" t="s">
        <v>751</v>
      </c>
      <c r="D71" t="s">
        <v>12</v>
      </c>
      <c r="E71">
        <v>5</v>
      </c>
      <c r="F71" t="str">
        <f>+CHOOSE(Tbl_2021[[#This Row],[Type of Service]],"PEST","Disinfe","Rodent","Bird","Termite")</f>
        <v>Termite</v>
      </c>
      <c r="G71">
        <v>35</v>
      </c>
      <c r="H71" s="4">
        <f>+CHOOSE(Tbl_2021[[#This Row],[Type of Service]],2020,3500,3200,4100,5300)*Tbl_2021[[#This Row],[No of Visits]]</f>
        <v>185500</v>
      </c>
    </row>
    <row r="72" spans="2:8" x14ac:dyDescent="0.3">
      <c r="B72" t="s">
        <v>79</v>
      </c>
      <c r="C72" t="s">
        <v>752</v>
      </c>
      <c r="D72" t="s">
        <v>14</v>
      </c>
      <c r="E72">
        <v>4</v>
      </c>
      <c r="F72" t="str">
        <f>+CHOOSE(Tbl_2021[[#This Row],[Type of Service]],"PEST","Disinfe","Rodent","Bird","Termite")</f>
        <v>Bird</v>
      </c>
      <c r="G72">
        <v>19</v>
      </c>
      <c r="H72" s="4">
        <f>+CHOOSE(Tbl_2021[[#This Row],[Type of Service]],2020,3500,3200,4100,5300)*Tbl_2021[[#This Row],[No of Visits]]</f>
        <v>77900</v>
      </c>
    </row>
    <row r="73" spans="2:8" x14ac:dyDescent="0.3">
      <c r="B73" t="s">
        <v>80</v>
      </c>
      <c r="C73" t="s">
        <v>753</v>
      </c>
      <c r="D73" t="s">
        <v>16</v>
      </c>
      <c r="E73">
        <v>4</v>
      </c>
      <c r="F73" t="str">
        <f>+CHOOSE(Tbl_2021[[#This Row],[Type of Service]],"PEST","Disinfe","Rodent","Bird","Termite")</f>
        <v>Bird</v>
      </c>
      <c r="G73">
        <v>34</v>
      </c>
      <c r="H73" s="4">
        <f>+CHOOSE(Tbl_2021[[#This Row],[Type of Service]],2020,3500,3200,4100,5300)*Tbl_2021[[#This Row],[No of Visits]]</f>
        <v>139400</v>
      </c>
    </row>
    <row r="74" spans="2:8" x14ac:dyDescent="0.3">
      <c r="B74" t="s">
        <v>81</v>
      </c>
      <c r="C74" t="s">
        <v>754</v>
      </c>
      <c r="D74" t="s">
        <v>4</v>
      </c>
      <c r="E74">
        <v>4</v>
      </c>
      <c r="F74" t="str">
        <f>+CHOOSE(Tbl_2021[[#This Row],[Type of Service]],"PEST","Disinfe","Rodent","Bird","Termite")</f>
        <v>Bird</v>
      </c>
      <c r="G74">
        <v>3</v>
      </c>
      <c r="H74" s="4">
        <f>+CHOOSE(Tbl_2021[[#This Row],[Type of Service]],2020,3500,3200,4100,5300)*Tbl_2021[[#This Row],[No of Visits]]</f>
        <v>12300</v>
      </c>
    </row>
    <row r="75" spans="2:8" x14ac:dyDescent="0.3">
      <c r="B75" t="s">
        <v>82</v>
      </c>
      <c r="C75" t="s">
        <v>755</v>
      </c>
      <c r="D75" t="s">
        <v>6</v>
      </c>
      <c r="E75">
        <v>2</v>
      </c>
      <c r="F75" t="str">
        <f>+CHOOSE(Tbl_2021[[#This Row],[Type of Service]],"PEST","Disinfe","Rodent","Bird","Termite")</f>
        <v>Disinfe</v>
      </c>
      <c r="G75">
        <v>23</v>
      </c>
      <c r="H75" s="4">
        <f>+CHOOSE(Tbl_2021[[#This Row],[Type of Service]],2020,3500,3200,4100,5300)*Tbl_2021[[#This Row],[No of Visits]]</f>
        <v>80500</v>
      </c>
    </row>
    <row r="76" spans="2:8" x14ac:dyDescent="0.3">
      <c r="B76" t="s">
        <v>83</v>
      </c>
      <c r="C76" t="s">
        <v>756</v>
      </c>
      <c r="D76" t="s">
        <v>8</v>
      </c>
      <c r="E76">
        <v>2</v>
      </c>
      <c r="F76" t="str">
        <f>+CHOOSE(Tbl_2021[[#This Row],[Type of Service]],"PEST","Disinfe","Rodent","Bird","Termite")</f>
        <v>Disinfe</v>
      </c>
      <c r="G76">
        <v>27</v>
      </c>
      <c r="H76" s="4">
        <f>+CHOOSE(Tbl_2021[[#This Row],[Type of Service]],2020,3500,3200,4100,5300)*Tbl_2021[[#This Row],[No of Visits]]</f>
        <v>94500</v>
      </c>
    </row>
    <row r="77" spans="2:8" x14ac:dyDescent="0.3">
      <c r="B77" t="s">
        <v>84</v>
      </c>
      <c r="C77" t="s">
        <v>757</v>
      </c>
      <c r="D77" t="s">
        <v>10</v>
      </c>
      <c r="E77">
        <v>2</v>
      </c>
      <c r="F77" t="str">
        <f>+CHOOSE(Tbl_2021[[#This Row],[Type of Service]],"PEST","Disinfe","Rodent","Bird","Termite")</f>
        <v>Disinfe</v>
      </c>
      <c r="G77">
        <v>4</v>
      </c>
      <c r="H77" s="4">
        <f>+CHOOSE(Tbl_2021[[#This Row],[Type of Service]],2020,3500,3200,4100,5300)*Tbl_2021[[#This Row],[No of Visits]]</f>
        <v>14000</v>
      </c>
    </row>
    <row r="78" spans="2:8" x14ac:dyDescent="0.3">
      <c r="B78" t="s">
        <v>85</v>
      </c>
      <c r="C78" t="s">
        <v>758</v>
      </c>
      <c r="D78" t="s">
        <v>12</v>
      </c>
      <c r="E78">
        <v>2</v>
      </c>
      <c r="F78" t="str">
        <f>+CHOOSE(Tbl_2021[[#This Row],[Type of Service]],"PEST","Disinfe","Rodent","Bird","Termite")</f>
        <v>Disinfe</v>
      </c>
      <c r="G78">
        <v>17</v>
      </c>
      <c r="H78" s="4">
        <f>+CHOOSE(Tbl_2021[[#This Row],[Type of Service]],2020,3500,3200,4100,5300)*Tbl_2021[[#This Row],[No of Visits]]</f>
        <v>59500</v>
      </c>
    </row>
    <row r="79" spans="2:8" x14ac:dyDescent="0.3">
      <c r="B79" t="s">
        <v>86</v>
      </c>
      <c r="C79" t="s">
        <v>759</v>
      </c>
      <c r="D79" t="s">
        <v>14</v>
      </c>
      <c r="E79">
        <v>5</v>
      </c>
      <c r="F79" t="str">
        <f>+CHOOSE(Tbl_2021[[#This Row],[Type of Service]],"PEST","Disinfe","Rodent","Bird","Termite")</f>
        <v>Termite</v>
      </c>
      <c r="G79">
        <v>32</v>
      </c>
      <c r="H79" s="4">
        <f>+CHOOSE(Tbl_2021[[#This Row],[Type of Service]],2020,3500,3200,4100,5300)*Tbl_2021[[#This Row],[No of Visits]]</f>
        <v>169600</v>
      </c>
    </row>
    <row r="80" spans="2:8" x14ac:dyDescent="0.3">
      <c r="B80" t="s">
        <v>87</v>
      </c>
      <c r="C80" t="s">
        <v>760</v>
      </c>
      <c r="D80" t="s">
        <v>16</v>
      </c>
      <c r="E80">
        <v>1</v>
      </c>
      <c r="F80" t="str">
        <f>+CHOOSE(Tbl_2021[[#This Row],[Type of Service]],"PEST","Disinfe","Rodent","Bird","Termite")</f>
        <v>PEST</v>
      </c>
      <c r="G80">
        <v>4</v>
      </c>
      <c r="H80" s="4">
        <f>+CHOOSE(Tbl_2021[[#This Row],[Type of Service]],2020,3500,3200,4100,5300)*Tbl_2021[[#This Row],[No of Visits]]</f>
        <v>8080</v>
      </c>
    </row>
    <row r="81" spans="2:8" x14ac:dyDescent="0.3">
      <c r="B81" t="s">
        <v>88</v>
      </c>
      <c r="C81" t="s">
        <v>761</v>
      </c>
      <c r="D81" t="s">
        <v>4</v>
      </c>
      <c r="E81">
        <v>4</v>
      </c>
      <c r="F81" t="str">
        <f>+CHOOSE(Tbl_2021[[#This Row],[Type of Service]],"PEST","Disinfe","Rodent","Bird","Termite")</f>
        <v>Bird</v>
      </c>
      <c r="G81">
        <v>10</v>
      </c>
      <c r="H81" s="4">
        <f>+CHOOSE(Tbl_2021[[#This Row],[Type of Service]],2020,3500,3200,4100,5300)*Tbl_2021[[#This Row],[No of Visits]]</f>
        <v>41000</v>
      </c>
    </row>
    <row r="82" spans="2:8" x14ac:dyDescent="0.3">
      <c r="B82" t="s">
        <v>89</v>
      </c>
      <c r="C82" t="s">
        <v>739</v>
      </c>
      <c r="D82" t="s">
        <v>6</v>
      </c>
      <c r="E82">
        <v>1</v>
      </c>
      <c r="F82" t="str">
        <f>+CHOOSE(Tbl_2021[[#This Row],[Type of Service]],"PEST","Disinfe","Rodent","Bird","Termite")</f>
        <v>PEST</v>
      </c>
      <c r="G82">
        <v>14</v>
      </c>
      <c r="H82" s="4">
        <f>+CHOOSE(Tbl_2021[[#This Row],[Type of Service]],2020,3500,3200,4100,5300)*Tbl_2021[[#This Row],[No of Visits]]</f>
        <v>28280</v>
      </c>
    </row>
    <row r="83" spans="2:8" x14ac:dyDescent="0.3">
      <c r="B83" t="s">
        <v>90</v>
      </c>
      <c r="C83" t="s">
        <v>762</v>
      </c>
      <c r="D83" t="s">
        <v>8</v>
      </c>
      <c r="E83">
        <v>1</v>
      </c>
      <c r="F83" t="str">
        <f>+CHOOSE(Tbl_2021[[#This Row],[Type of Service]],"PEST","Disinfe","Rodent","Bird","Termite")</f>
        <v>PEST</v>
      </c>
      <c r="G83">
        <v>36</v>
      </c>
      <c r="H83" s="4">
        <f>+CHOOSE(Tbl_2021[[#This Row],[Type of Service]],2020,3500,3200,4100,5300)*Tbl_2021[[#This Row],[No of Visits]]</f>
        <v>72720</v>
      </c>
    </row>
    <row r="84" spans="2:8" x14ac:dyDescent="0.3">
      <c r="B84" t="s">
        <v>91</v>
      </c>
      <c r="C84" t="s">
        <v>763</v>
      </c>
      <c r="D84" t="s">
        <v>10</v>
      </c>
      <c r="E84">
        <v>5</v>
      </c>
      <c r="F84" t="str">
        <f>+CHOOSE(Tbl_2021[[#This Row],[Type of Service]],"PEST","Disinfe","Rodent","Bird","Termite")</f>
        <v>Termite</v>
      </c>
      <c r="G84">
        <v>21</v>
      </c>
      <c r="H84" s="4">
        <f>+CHOOSE(Tbl_2021[[#This Row],[Type of Service]],2020,3500,3200,4100,5300)*Tbl_2021[[#This Row],[No of Visits]]</f>
        <v>111300</v>
      </c>
    </row>
    <row r="85" spans="2:8" x14ac:dyDescent="0.3">
      <c r="B85" t="s">
        <v>92</v>
      </c>
      <c r="C85" t="s">
        <v>727</v>
      </c>
      <c r="D85" t="s">
        <v>12</v>
      </c>
      <c r="E85">
        <v>5</v>
      </c>
      <c r="F85" t="str">
        <f>+CHOOSE(Tbl_2021[[#This Row],[Type of Service]],"PEST","Disinfe","Rodent","Bird","Termite")</f>
        <v>Termite</v>
      </c>
      <c r="G85">
        <v>14</v>
      </c>
      <c r="H85" s="4">
        <f>+CHOOSE(Tbl_2021[[#This Row],[Type of Service]],2020,3500,3200,4100,5300)*Tbl_2021[[#This Row],[No of Visits]]</f>
        <v>74200</v>
      </c>
    </row>
    <row r="86" spans="2:8" x14ac:dyDescent="0.3">
      <c r="B86" t="s">
        <v>93</v>
      </c>
      <c r="C86" t="s">
        <v>764</v>
      </c>
      <c r="D86" t="s">
        <v>14</v>
      </c>
      <c r="E86">
        <v>1</v>
      </c>
      <c r="F86" t="str">
        <f>+CHOOSE(Tbl_2021[[#This Row],[Type of Service]],"PEST","Disinfe","Rodent","Bird","Termite")</f>
        <v>PEST</v>
      </c>
      <c r="G86">
        <v>5</v>
      </c>
      <c r="H86" s="4">
        <f>+CHOOSE(Tbl_2021[[#This Row],[Type of Service]],2020,3500,3200,4100,5300)*Tbl_2021[[#This Row],[No of Visits]]</f>
        <v>10100</v>
      </c>
    </row>
    <row r="87" spans="2:8" x14ac:dyDescent="0.3">
      <c r="B87" t="s">
        <v>94</v>
      </c>
      <c r="C87" t="s">
        <v>765</v>
      </c>
      <c r="D87" t="s">
        <v>16</v>
      </c>
      <c r="E87">
        <v>5</v>
      </c>
      <c r="F87" t="str">
        <f>+CHOOSE(Tbl_2021[[#This Row],[Type of Service]],"PEST","Disinfe","Rodent","Bird","Termite")</f>
        <v>Termite</v>
      </c>
      <c r="G87">
        <v>23</v>
      </c>
      <c r="H87" s="4">
        <f>+CHOOSE(Tbl_2021[[#This Row],[Type of Service]],2020,3500,3200,4100,5300)*Tbl_2021[[#This Row],[No of Visits]]</f>
        <v>121900</v>
      </c>
    </row>
    <row r="88" spans="2:8" x14ac:dyDescent="0.3">
      <c r="B88" t="s">
        <v>95</v>
      </c>
      <c r="C88" t="s">
        <v>766</v>
      </c>
      <c r="D88" t="s">
        <v>4</v>
      </c>
      <c r="E88">
        <v>1</v>
      </c>
      <c r="F88" t="str">
        <f>+CHOOSE(Tbl_2021[[#This Row],[Type of Service]],"PEST","Disinfe","Rodent","Bird","Termite")</f>
        <v>PEST</v>
      </c>
      <c r="G88">
        <v>5</v>
      </c>
      <c r="H88" s="4">
        <f>+CHOOSE(Tbl_2021[[#This Row],[Type of Service]],2020,3500,3200,4100,5300)*Tbl_2021[[#This Row],[No of Visits]]</f>
        <v>10100</v>
      </c>
    </row>
    <row r="89" spans="2:8" x14ac:dyDescent="0.3">
      <c r="B89" t="s">
        <v>96</v>
      </c>
      <c r="C89" t="s">
        <v>767</v>
      </c>
      <c r="D89" t="s">
        <v>6</v>
      </c>
      <c r="E89">
        <v>2</v>
      </c>
      <c r="F89" t="str">
        <f>+CHOOSE(Tbl_2021[[#This Row],[Type of Service]],"PEST","Disinfe","Rodent","Bird","Termite")</f>
        <v>Disinfe</v>
      </c>
      <c r="G89">
        <v>25</v>
      </c>
      <c r="H89" s="4">
        <f>+CHOOSE(Tbl_2021[[#This Row],[Type of Service]],2020,3500,3200,4100,5300)*Tbl_2021[[#This Row],[No of Visits]]</f>
        <v>87500</v>
      </c>
    </row>
    <row r="90" spans="2:8" x14ac:dyDescent="0.3">
      <c r="B90" t="s">
        <v>97</v>
      </c>
      <c r="C90" t="s">
        <v>768</v>
      </c>
      <c r="D90" t="s">
        <v>8</v>
      </c>
      <c r="E90">
        <v>1</v>
      </c>
      <c r="F90" t="str">
        <f>+CHOOSE(Tbl_2021[[#This Row],[Type of Service]],"PEST","Disinfe","Rodent","Bird","Termite")</f>
        <v>PEST</v>
      </c>
      <c r="G90">
        <v>25</v>
      </c>
      <c r="H90" s="4">
        <f>+CHOOSE(Tbl_2021[[#This Row],[Type of Service]],2020,3500,3200,4100,5300)*Tbl_2021[[#This Row],[No of Visits]]</f>
        <v>50500</v>
      </c>
    </row>
    <row r="91" spans="2:8" x14ac:dyDescent="0.3">
      <c r="B91" t="s">
        <v>98</v>
      </c>
      <c r="C91" t="s">
        <v>769</v>
      </c>
      <c r="D91" t="s">
        <v>10</v>
      </c>
      <c r="E91">
        <v>5</v>
      </c>
      <c r="F91" t="str">
        <f>+CHOOSE(Tbl_2021[[#This Row],[Type of Service]],"PEST","Disinfe","Rodent","Bird","Termite")</f>
        <v>Termite</v>
      </c>
      <c r="G91">
        <v>16</v>
      </c>
      <c r="H91" s="4">
        <f>+CHOOSE(Tbl_2021[[#This Row],[Type of Service]],2020,3500,3200,4100,5300)*Tbl_2021[[#This Row],[No of Visits]]</f>
        <v>84800</v>
      </c>
    </row>
    <row r="92" spans="2:8" x14ac:dyDescent="0.3">
      <c r="B92" t="s">
        <v>99</v>
      </c>
      <c r="C92" t="s">
        <v>770</v>
      </c>
      <c r="D92" t="s">
        <v>12</v>
      </c>
      <c r="E92">
        <v>4</v>
      </c>
      <c r="F92" t="str">
        <f>+CHOOSE(Tbl_2021[[#This Row],[Type of Service]],"PEST","Disinfe","Rodent","Bird","Termite")</f>
        <v>Bird</v>
      </c>
      <c r="G92">
        <v>18</v>
      </c>
      <c r="H92" s="4">
        <f>+CHOOSE(Tbl_2021[[#This Row],[Type of Service]],2020,3500,3200,4100,5300)*Tbl_2021[[#This Row],[No of Visits]]</f>
        <v>73800</v>
      </c>
    </row>
    <row r="93" spans="2:8" x14ac:dyDescent="0.3">
      <c r="B93" t="s">
        <v>100</v>
      </c>
      <c r="C93" t="s">
        <v>771</v>
      </c>
      <c r="D93" t="s">
        <v>14</v>
      </c>
      <c r="E93">
        <v>4</v>
      </c>
      <c r="F93" t="str">
        <f>+CHOOSE(Tbl_2021[[#This Row],[Type of Service]],"PEST","Disinfe","Rodent","Bird","Termite")</f>
        <v>Bird</v>
      </c>
      <c r="G93">
        <v>3</v>
      </c>
      <c r="H93" s="4">
        <f>+CHOOSE(Tbl_2021[[#This Row],[Type of Service]],2020,3500,3200,4100,5300)*Tbl_2021[[#This Row],[No of Visits]]</f>
        <v>12300</v>
      </c>
    </row>
    <row r="94" spans="2:8" x14ac:dyDescent="0.3">
      <c r="B94" t="s">
        <v>101</v>
      </c>
      <c r="C94" t="s">
        <v>772</v>
      </c>
      <c r="D94" t="s">
        <v>16</v>
      </c>
      <c r="E94">
        <v>4</v>
      </c>
      <c r="F94" t="str">
        <f>+CHOOSE(Tbl_2021[[#This Row],[Type of Service]],"PEST","Disinfe","Rodent","Bird","Termite")</f>
        <v>Bird</v>
      </c>
      <c r="G94">
        <v>8</v>
      </c>
      <c r="H94" s="4">
        <f>+CHOOSE(Tbl_2021[[#This Row],[Type of Service]],2020,3500,3200,4100,5300)*Tbl_2021[[#This Row],[No of Visits]]</f>
        <v>32800</v>
      </c>
    </row>
    <row r="95" spans="2:8" x14ac:dyDescent="0.3">
      <c r="B95" t="s">
        <v>102</v>
      </c>
      <c r="C95" t="s">
        <v>773</v>
      </c>
      <c r="D95" t="s">
        <v>4</v>
      </c>
      <c r="E95">
        <v>4</v>
      </c>
      <c r="F95" t="str">
        <f>+CHOOSE(Tbl_2021[[#This Row],[Type of Service]],"PEST","Disinfe","Rodent","Bird","Termite")</f>
        <v>Bird</v>
      </c>
      <c r="G95">
        <v>15</v>
      </c>
      <c r="H95" s="4">
        <f>+CHOOSE(Tbl_2021[[#This Row],[Type of Service]],2020,3500,3200,4100,5300)*Tbl_2021[[#This Row],[No of Visits]]</f>
        <v>61500</v>
      </c>
    </row>
    <row r="96" spans="2:8" x14ac:dyDescent="0.3">
      <c r="B96" t="s">
        <v>103</v>
      </c>
      <c r="C96" t="s">
        <v>774</v>
      </c>
      <c r="D96" t="s">
        <v>6</v>
      </c>
      <c r="E96">
        <v>2</v>
      </c>
      <c r="F96" t="str">
        <f>+CHOOSE(Tbl_2021[[#This Row],[Type of Service]],"PEST","Disinfe","Rodent","Bird","Termite")</f>
        <v>Disinfe</v>
      </c>
      <c r="G96">
        <v>32</v>
      </c>
      <c r="H96" s="4">
        <f>+CHOOSE(Tbl_2021[[#This Row],[Type of Service]],2020,3500,3200,4100,5300)*Tbl_2021[[#This Row],[No of Visits]]</f>
        <v>112000</v>
      </c>
    </row>
    <row r="97" spans="2:8" x14ac:dyDescent="0.3">
      <c r="B97" t="s">
        <v>104</v>
      </c>
      <c r="C97" t="s">
        <v>775</v>
      </c>
      <c r="D97" t="s">
        <v>8</v>
      </c>
      <c r="E97">
        <v>2</v>
      </c>
      <c r="F97" t="str">
        <f>+CHOOSE(Tbl_2021[[#This Row],[Type of Service]],"PEST","Disinfe","Rodent","Bird","Termite")</f>
        <v>Disinfe</v>
      </c>
      <c r="G97">
        <v>5</v>
      </c>
      <c r="H97" s="4">
        <f>+CHOOSE(Tbl_2021[[#This Row],[Type of Service]],2020,3500,3200,4100,5300)*Tbl_2021[[#This Row],[No of Visits]]</f>
        <v>17500</v>
      </c>
    </row>
    <row r="98" spans="2:8" x14ac:dyDescent="0.3">
      <c r="B98" t="s">
        <v>105</v>
      </c>
      <c r="C98" t="s">
        <v>734</v>
      </c>
      <c r="D98" t="s">
        <v>10</v>
      </c>
      <c r="E98">
        <v>2</v>
      </c>
      <c r="F98" t="str">
        <f>+CHOOSE(Tbl_2021[[#This Row],[Type of Service]],"PEST","Disinfe","Rodent","Bird","Termite")</f>
        <v>Disinfe</v>
      </c>
      <c r="G98">
        <v>35</v>
      </c>
      <c r="H98" s="4">
        <f>+CHOOSE(Tbl_2021[[#This Row],[Type of Service]],2020,3500,3200,4100,5300)*Tbl_2021[[#This Row],[No of Visits]]</f>
        <v>122500</v>
      </c>
    </row>
    <row r="99" spans="2:8" x14ac:dyDescent="0.3">
      <c r="B99" t="s">
        <v>106</v>
      </c>
      <c r="C99" t="s">
        <v>776</v>
      </c>
      <c r="D99" t="s">
        <v>12</v>
      </c>
      <c r="E99">
        <v>2</v>
      </c>
      <c r="F99" t="str">
        <f>+CHOOSE(Tbl_2021[[#This Row],[Type of Service]],"PEST","Disinfe","Rodent","Bird","Termite")</f>
        <v>Disinfe</v>
      </c>
      <c r="G99">
        <v>32</v>
      </c>
      <c r="H99" s="4">
        <f>+CHOOSE(Tbl_2021[[#This Row],[Type of Service]],2020,3500,3200,4100,5300)*Tbl_2021[[#This Row],[No of Visits]]</f>
        <v>112000</v>
      </c>
    </row>
    <row r="100" spans="2:8" x14ac:dyDescent="0.3">
      <c r="B100" t="s">
        <v>107</v>
      </c>
      <c r="C100" t="s">
        <v>777</v>
      </c>
      <c r="D100" t="s">
        <v>14</v>
      </c>
      <c r="E100">
        <v>2</v>
      </c>
      <c r="F100" t="str">
        <f>+CHOOSE(Tbl_2021[[#This Row],[Type of Service]],"PEST","Disinfe","Rodent","Bird","Termite")</f>
        <v>Disinfe</v>
      </c>
      <c r="G100">
        <v>35</v>
      </c>
      <c r="H100" s="4">
        <f>+CHOOSE(Tbl_2021[[#This Row],[Type of Service]],2020,3500,3200,4100,5300)*Tbl_2021[[#This Row],[No of Visits]]</f>
        <v>122500</v>
      </c>
    </row>
    <row r="101" spans="2:8" x14ac:dyDescent="0.3">
      <c r="B101" t="s">
        <v>108</v>
      </c>
      <c r="C101" t="s">
        <v>778</v>
      </c>
      <c r="D101" t="s">
        <v>16</v>
      </c>
      <c r="E101">
        <v>4</v>
      </c>
      <c r="F101" t="str">
        <f>+CHOOSE(Tbl_2021[[#This Row],[Type of Service]],"PEST","Disinfe","Rodent","Bird","Termite")</f>
        <v>Bird</v>
      </c>
      <c r="G101">
        <v>22</v>
      </c>
      <c r="H101" s="4">
        <f>+CHOOSE(Tbl_2021[[#This Row],[Type of Service]],2020,3500,3200,4100,5300)*Tbl_2021[[#This Row],[No of Visits]]</f>
        <v>90200</v>
      </c>
    </row>
    <row r="102" spans="2:8" x14ac:dyDescent="0.3">
      <c r="B102" t="s">
        <v>109</v>
      </c>
      <c r="C102" t="s">
        <v>779</v>
      </c>
      <c r="D102" t="s">
        <v>4</v>
      </c>
      <c r="E102">
        <v>1</v>
      </c>
      <c r="F102" t="str">
        <f>+CHOOSE(Tbl_2021[[#This Row],[Type of Service]],"PEST","Disinfe","Rodent","Bird","Termite")</f>
        <v>PEST</v>
      </c>
      <c r="G102">
        <v>11</v>
      </c>
      <c r="H102" s="4">
        <f>+CHOOSE(Tbl_2021[[#This Row],[Type of Service]],2020,3500,3200,4100,5300)*Tbl_2021[[#This Row],[No of Visits]]</f>
        <v>22220</v>
      </c>
    </row>
    <row r="103" spans="2:8" x14ac:dyDescent="0.3">
      <c r="B103" t="s">
        <v>110</v>
      </c>
      <c r="C103" t="s">
        <v>780</v>
      </c>
      <c r="D103" t="s">
        <v>6</v>
      </c>
      <c r="E103">
        <v>2</v>
      </c>
      <c r="F103" t="str">
        <f>+CHOOSE(Tbl_2021[[#This Row],[Type of Service]],"PEST","Disinfe","Rodent","Bird","Termite")</f>
        <v>Disinfe</v>
      </c>
      <c r="G103">
        <v>24</v>
      </c>
      <c r="H103" s="4">
        <f>+CHOOSE(Tbl_2021[[#This Row],[Type of Service]],2020,3500,3200,4100,5300)*Tbl_2021[[#This Row],[No of Visits]]</f>
        <v>84000</v>
      </c>
    </row>
    <row r="104" spans="2:8" x14ac:dyDescent="0.3">
      <c r="B104" t="s">
        <v>111</v>
      </c>
      <c r="C104" t="s">
        <v>719</v>
      </c>
      <c r="D104" t="s">
        <v>8</v>
      </c>
      <c r="E104">
        <v>4</v>
      </c>
      <c r="F104" t="str">
        <f>+CHOOSE(Tbl_2021[[#This Row],[Type of Service]],"PEST","Disinfe","Rodent","Bird","Termite")</f>
        <v>Bird</v>
      </c>
      <c r="G104">
        <v>5</v>
      </c>
      <c r="H104" s="4">
        <f>+CHOOSE(Tbl_2021[[#This Row],[Type of Service]],2020,3500,3200,4100,5300)*Tbl_2021[[#This Row],[No of Visits]]</f>
        <v>20500</v>
      </c>
    </row>
    <row r="105" spans="2:8" x14ac:dyDescent="0.3">
      <c r="B105" t="s">
        <v>112</v>
      </c>
      <c r="C105" t="s">
        <v>781</v>
      </c>
      <c r="D105" t="s">
        <v>10</v>
      </c>
      <c r="E105">
        <v>5</v>
      </c>
      <c r="F105" t="str">
        <f>+CHOOSE(Tbl_2021[[#This Row],[Type of Service]],"PEST","Disinfe","Rodent","Bird","Termite")</f>
        <v>Termite</v>
      </c>
      <c r="G105">
        <v>20</v>
      </c>
      <c r="H105" s="4">
        <f>+CHOOSE(Tbl_2021[[#This Row],[Type of Service]],2020,3500,3200,4100,5300)*Tbl_2021[[#This Row],[No of Visits]]</f>
        <v>106000</v>
      </c>
    </row>
    <row r="106" spans="2:8" x14ac:dyDescent="0.3">
      <c r="B106" t="s">
        <v>113</v>
      </c>
      <c r="C106" t="s">
        <v>782</v>
      </c>
      <c r="D106" t="s">
        <v>12</v>
      </c>
      <c r="E106">
        <v>4</v>
      </c>
      <c r="F106" t="str">
        <f>+CHOOSE(Tbl_2021[[#This Row],[Type of Service]],"PEST","Disinfe","Rodent","Bird","Termite")</f>
        <v>Bird</v>
      </c>
      <c r="G106">
        <v>30</v>
      </c>
      <c r="H106" s="4">
        <f>+CHOOSE(Tbl_2021[[#This Row],[Type of Service]],2020,3500,3200,4100,5300)*Tbl_2021[[#This Row],[No of Visits]]</f>
        <v>123000</v>
      </c>
    </row>
    <row r="107" spans="2:8" x14ac:dyDescent="0.3">
      <c r="B107" t="s">
        <v>114</v>
      </c>
      <c r="C107" t="s">
        <v>115</v>
      </c>
      <c r="D107" t="s">
        <v>14</v>
      </c>
      <c r="E107">
        <v>4</v>
      </c>
      <c r="F107" t="str">
        <f>+CHOOSE(Tbl_2021[[#This Row],[Type of Service]],"PEST","Disinfe","Rodent","Bird","Termite")</f>
        <v>Bird</v>
      </c>
      <c r="G107">
        <v>22</v>
      </c>
      <c r="H107" s="4">
        <f>+CHOOSE(Tbl_2021[[#This Row],[Type of Service]],2020,3500,3200,4100,5300)*Tbl_2021[[#This Row],[No of Visits]]</f>
        <v>90200</v>
      </c>
    </row>
    <row r="108" spans="2:8" x14ac:dyDescent="0.3">
      <c r="B108" t="s">
        <v>116</v>
      </c>
      <c r="C108" t="s">
        <v>783</v>
      </c>
      <c r="D108" t="s">
        <v>16</v>
      </c>
      <c r="E108">
        <v>1</v>
      </c>
      <c r="F108" t="str">
        <f>+CHOOSE(Tbl_2021[[#This Row],[Type of Service]],"PEST","Disinfe","Rodent","Bird","Termite")</f>
        <v>PEST</v>
      </c>
      <c r="G108">
        <v>16</v>
      </c>
      <c r="H108" s="4">
        <f>+CHOOSE(Tbl_2021[[#This Row],[Type of Service]],2020,3500,3200,4100,5300)*Tbl_2021[[#This Row],[No of Visits]]</f>
        <v>32320</v>
      </c>
    </row>
    <row r="109" spans="2:8" x14ac:dyDescent="0.3">
      <c r="B109" t="s">
        <v>117</v>
      </c>
      <c r="C109" t="s">
        <v>784</v>
      </c>
      <c r="D109" t="s">
        <v>4</v>
      </c>
      <c r="E109">
        <v>4</v>
      </c>
      <c r="F109" t="str">
        <f>+CHOOSE(Tbl_2021[[#This Row],[Type of Service]],"PEST","Disinfe","Rodent","Bird","Termite")</f>
        <v>Bird</v>
      </c>
      <c r="G109">
        <v>35</v>
      </c>
      <c r="H109" s="4">
        <f>+CHOOSE(Tbl_2021[[#This Row],[Type of Service]],2020,3500,3200,4100,5300)*Tbl_2021[[#This Row],[No of Visits]]</f>
        <v>143500</v>
      </c>
    </row>
    <row r="110" spans="2:8" x14ac:dyDescent="0.3">
      <c r="B110" t="s">
        <v>118</v>
      </c>
      <c r="C110" t="s">
        <v>119</v>
      </c>
      <c r="D110" t="s">
        <v>6</v>
      </c>
      <c r="E110">
        <v>2</v>
      </c>
      <c r="F110" t="str">
        <f>+CHOOSE(Tbl_2021[[#This Row],[Type of Service]],"PEST","Disinfe","Rodent","Bird","Termite")</f>
        <v>Disinfe</v>
      </c>
      <c r="G110">
        <v>10</v>
      </c>
      <c r="H110" s="4">
        <f>+CHOOSE(Tbl_2021[[#This Row],[Type of Service]],2020,3500,3200,4100,5300)*Tbl_2021[[#This Row],[No of Visits]]</f>
        <v>35000</v>
      </c>
    </row>
    <row r="111" spans="2:8" x14ac:dyDescent="0.3">
      <c r="B111" t="s">
        <v>120</v>
      </c>
      <c r="C111" t="s">
        <v>785</v>
      </c>
      <c r="D111" t="s">
        <v>8</v>
      </c>
      <c r="E111">
        <v>5</v>
      </c>
      <c r="F111" t="str">
        <f>+CHOOSE(Tbl_2021[[#This Row],[Type of Service]],"PEST","Disinfe","Rodent","Bird","Termite")</f>
        <v>Termite</v>
      </c>
      <c r="G111">
        <v>18</v>
      </c>
      <c r="H111" s="4">
        <f>+CHOOSE(Tbl_2021[[#This Row],[Type of Service]],2020,3500,3200,4100,5300)*Tbl_2021[[#This Row],[No of Visits]]</f>
        <v>95400</v>
      </c>
    </row>
    <row r="112" spans="2:8" x14ac:dyDescent="0.3">
      <c r="B112" t="s">
        <v>121</v>
      </c>
      <c r="C112" t="s">
        <v>786</v>
      </c>
      <c r="D112" t="s">
        <v>10</v>
      </c>
      <c r="E112">
        <v>4</v>
      </c>
      <c r="F112" t="str">
        <f>+CHOOSE(Tbl_2021[[#This Row],[Type of Service]],"PEST","Disinfe","Rodent","Bird","Termite")</f>
        <v>Bird</v>
      </c>
      <c r="G112">
        <v>29</v>
      </c>
      <c r="H112" s="4">
        <f>+CHOOSE(Tbl_2021[[#This Row],[Type of Service]],2020,3500,3200,4100,5300)*Tbl_2021[[#This Row],[No of Visits]]</f>
        <v>118900</v>
      </c>
    </row>
    <row r="113" spans="2:8" x14ac:dyDescent="0.3">
      <c r="B113" t="s">
        <v>122</v>
      </c>
      <c r="C113" t="s">
        <v>787</v>
      </c>
      <c r="D113" t="s">
        <v>12</v>
      </c>
      <c r="E113">
        <v>1</v>
      </c>
      <c r="F113" t="str">
        <f>+CHOOSE(Tbl_2021[[#This Row],[Type of Service]],"PEST","Disinfe","Rodent","Bird","Termite")</f>
        <v>PEST</v>
      </c>
      <c r="G113">
        <v>13</v>
      </c>
      <c r="H113" s="4">
        <f>+CHOOSE(Tbl_2021[[#This Row],[Type of Service]],2020,3500,3200,4100,5300)*Tbl_2021[[#This Row],[No of Visits]]</f>
        <v>26260</v>
      </c>
    </row>
    <row r="114" spans="2:8" x14ac:dyDescent="0.3">
      <c r="B114" t="s">
        <v>123</v>
      </c>
      <c r="C114" t="s">
        <v>788</v>
      </c>
      <c r="D114" t="s">
        <v>14</v>
      </c>
      <c r="E114">
        <v>5</v>
      </c>
      <c r="F114" t="str">
        <f>+CHOOSE(Tbl_2021[[#This Row],[Type of Service]],"PEST","Disinfe","Rodent","Bird","Termite")</f>
        <v>Termite</v>
      </c>
      <c r="G114">
        <v>22</v>
      </c>
      <c r="H114" s="4">
        <f>+CHOOSE(Tbl_2021[[#This Row],[Type of Service]],2020,3500,3200,4100,5300)*Tbl_2021[[#This Row],[No of Visits]]</f>
        <v>116600</v>
      </c>
    </row>
    <row r="115" spans="2:8" x14ac:dyDescent="0.3">
      <c r="B115" t="s">
        <v>124</v>
      </c>
      <c r="C115" t="s">
        <v>789</v>
      </c>
      <c r="D115" t="s">
        <v>16</v>
      </c>
      <c r="E115">
        <v>2</v>
      </c>
      <c r="F115" t="str">
        <f>+CHOOSE(Tbl_2021[[#This Row],[Type of Service]],"PEST","Disinfe","Rodent","Bird","Termite")</f>
        <v>Disinfe</v>
      </c>
      <c r="G115">
        <v>34</v>
      </c>
      <c r="H115" s="4">
        <f>+CHOOSE(Tbl_2021[[#This Row],[Type of Service]],2020,3500,3200,4100,5300)*Tbl_2021[[#This Row],[No of Visits]]</f>
        <v>119000</v>
      </c>
    </row>
    <row r="116" spans="2:8" x14ac:dyDescent="0.3">
      <c r="B116" t="s">
        <v>125</v>
      </c>
      <c r="C116" t="s">
        <v>790</v>
      </c>
      <c r="D116" t="s">
        <v>4</v>
      </c>
      <c r="E116">
        <v>2</v>
      </c>
      <c r="F116" t="str">
        <f>+CHOOSE(Tbl_2021[[#This Row],[Type of Service]],"PEST","Disinfe","Rodent","Bird","Termite")</f>
        <v>Disinfe</v>
      </c>
      <c r="G116">
        <v>22</v>
      </c>
      <c r="H116" s="4">
        <f>+CHOOSE(Tbl_2021[[#This Row],[Type of Service]],2020,3500,3200,4100,5300)*Tbl_2021[[#This Row],[No of Visits]]</f>
        <v>77000</v>
      </c>
    </row>
    <row r="117" spans="2:8" x14ac:dyDescent="0.3">
      <c r="B117" t="s">
        <v>126</v>
      </c>
      <c r="C117" t="s">
        <v>791</v>
      </c>
      <c r="D117" t="s">
        <v>6</v>
      </c>
      <c r="E117">
        <v>5</v>
      </c>
      <c r="F117" t="str">
        <f>+CHOOSE(Tbl_2021[[#This Row],[Type of Service]],"PEST","Disinfe","Rodent","Bird","Termite")</f>
        <v>Termite</v>
      </c>
      <c r="G117">
        <v>32</v>
      </c>
      <c r="H117" s="4">
        <f>+CHOOSE(Tbl_2021[[#This Row],[Type of Service]],2020,3500,3200,4100,5300)*Tbl_2021[[#This Row],[No of Visits]]</f>
        <v>169600</v>
      </c>
    </row>
    <row r="118" spans="2:8" x14ac:dyDescent="0.3">
      <c r="B118" t="s">
        <v>127</v>
      </c>
      <c r="C118" t="s">
        <v>792</v>
      </c>
      <c r="D118" t="s">
        <v>8</v>
      </c>
      <c r="E118">
        <v>5</v>
      </c>
      <c r="F118" t="str">
        <f>+CHOOSE(Tbl_2021[[#This Row],[Type of Service]],"PEST","Disinfe","Rodent","Bird","Termite")</f>
        <v>Termite</v>
      </c>
      <c r="G118">
        <v>7</v>
      </c>
      <c r="H118" s="4">
        <f>+CHOOSE(Tbl_2021[[#This Row],[Type of Service]],2020,3500,3200,4100,5300)*Tbl_2021[[#This Row],[No of Visits]]</f>
        <v>37100</v>
      </c>
    </row>
    <row r="119" spans="2:8" x14ac:dyDescent="0.3">
      <c r="B119" t="s">
        <v>128</v>
      </c>
      <c r="C119" t="s">
        <v>793</v>
      </c>
      <c r="D119" t="s">
        <v>10</v>
      </c>
      <c r="E119">
        <v>5</v>
      </c>
      <c r="F119" t="str">
        <f>+CHOOSE(Tbl_2021[[#This Row],[Type of Service]],"PEST","Disinfe","Rodent","Bird","Termite")</f>
        <v>Termite</v>
      </c>
      <c r="G119">
        <v>33</v>
      </c>
      <c r="H119" s="4">
        <f>+CHOOSE(Tbl_2021[[#This Row],[Type of Service]],2020,3500,3200,4100,5300)*Tbl_2021[[#This Row],[No of Visits]]</f>
        <v>174900</v>
      </c>
    </row>
    <row r="120" spans="2:8" x14ac:dyDescent="0.3">
      <c r="B120" t="s">
        <v>129</v>
      </c>
      <c r="C120" t="s">
        <v>794</v>
      </c>
      <c r="D120" t="s">
        <v>12</v>
      </c>
      <c r="E120">
        <v>5</v>
      </c>
      <c r="F120" t="str">
        <f>+CHOOSE(Tbl_2021[[#This Row],[Type of Service]],"PEST","Disinfe","Rodent","Bird","Termite")</f>
        <v>Termite</v>
      </c>
      <c r="G120">
        <v>8</v>
      </c>
      <c r="H120" s="4">
        <f>+CHOOSE(Tbl_2021[[#This Row],[Type of Service]],2020,3500,3200,4100,5300)*Tbl_2021[[#This Row],[No of Visits]]</f>
        <v>42400</v>
      </c>
    </row>
    <row r="121" spans="2:8" x14ac:dyDescent="0.3">
      <c r="B121" t="s">
        <v>130</v>
      </c>
      <c r="C121" t="s">
        <v>795</v>
      </c>
      <c r="D121" t="s">
        <v>14</v>
      </c>
      <c r="E121">
        <v>1</v>
      </c>
      <c r="F121" t="str">
        <f>+CHOOSE(Tbl_2021[[#This Row],[Type of Service]],"PEST","Disinfe","Rodent","Bird","Termite")</f>
        <v>PEST</v>
      </c>
      <c r="G121">
        <v>24</v>
      </c>
      <c r="H121" s="4">
        <f>+CHOOSE(Tbl_2021[[#This Row],[Type of Service]],2020,3500,3200,4100,5300)*Tbl_2021[[#This Row],[No of Visits]]</f>
        <v>48480</v>
      </c>
    </row>
    <row r="122" spans="2:8" x14ac:dyDescent="0.3">
      <c r="B122" t="s">
        <v>131</v>
      </c>
      <c r="C122" t="s">
        <v>796</v>
      </c>
      <c r="D122" t="s">
        <v>16</v>
      </c>
      <c r="E122">
        <v>2</v>
      </c>
      <c r="F122" t="str">
        <f>+CHOOSE(Tbl_2021[[#This Row],[Type of Service]],"PEST","Disinfe","Rodent","Bird","Termite")</f>
        <v>Disinfe</v>
      </c>
      <c r="G122">
        <v>23</v>
      </c>
      <c r="H122" s="4">
        <f>+CHOOSE(Tbl_2021[[#This Row],[Type of Service]],2020,3500,3200,4100,5300)*Tbl_2021[[#This Row],[No of Visits]]</f>
        <v>80500</v>
      </c>
    </row>
    <row r="123" spans="2:8" x14ac:dyDescent="0.3">
      <c r="B123" t="s">
        <v>132</v>
      </c>
      <c r="C123" t="s">
        <v>797</v>
      </c>
      <c r="D123" t="s">
        <v>4</v>
      </c>
      <c r="E123">
        <v>2</v>
      </c>
      <c r="F123" t="str">
        <f>+CHOOSE(Tbl_2021[[#This Row],[Type of Service]],"PEST","Disinfe","Rodent","Bird","Termite")</f>
        <v>Disinfe</v>
      </c>
      <c r="G123">
        <v>36</v>
      </c>
      <c r="H123" s="4">
        <f>+CHOOSE(Tbl_2021[[#This Row],[Type of Service]],2020,3500,3200,4100,5300)*Tbl_2021[[#This Row],[No of Visits]]</f>
        <v>126000</v>
      </c>
    </row>
    <row r="124" spans="2:8" x14ac:dyDescent="0.3">
      <c r="B124" t="s">
        <v>133</v>
      </c>
      <c r="C124" t="s">
        <v>798</v>
      </c>
      <c r="D124" t="s">
        <v>6</v>
      </c>
      <c r="E124">
        <v>4</v>
      </c>
      <c r="F124" t="str">
        <f>+CHOOSE(Tbl_2021[[#This Row],[Type of Service]],"PEST","Disinfe","Rodent","Bird","Termite")</f>
        <v>Bird</v>
      </c>
      <c r="G124">
        <v>13</v>
      </c>
      <c r="H124" s="4">
        <f>+CHOOSE(Tbl_2021[[#This Row],[Type of Service]],2020,3500,3200,4100,5300)*Tbl_2021[[#This Row],[No of Visits]]</f>
        <v>53300</v>
      </c>
    </row>
    <row r="125" spans="2:8" x14ac:dyDescent="0.3">
      <c r="B125" t="s">
        <v>134</v>
      </c>
      <c r="C125" t="s">
        <v>793</v>
      </c>
      <c r="D125" t="s">
        <v>8</v>
      </c>
      <c r="E125">
        <v>1</v>
      </c>
      <c r="F125" t="str">
        <f>+CHOOSE(Tbl_2021[[#This Row],[Type of Service]],"PEST","Disinfe","Rodent","Bird","Termite")</f>
        <v>PEST</v>
      </c>
      <c r="G125">
        <v>15</v>
      </c>
      <c r="H125" s="4">
        <f>+CHOOSE(Tbl_2021[[#This Row],[Type of Service]],2020,3500,3200,4100,5300)*Tbl_2021[[#This Row],[No of Visits]]</f>
        <v>30300</v>
      </c>
    </row>
    <row r="126" spans="2:8" x14ac:dyDescent="0.3">
      <c r="B126" t="s">
        <v>135</v>
      </c>
      <c r="C126" t="s">
        <v>799</v>
      </c>
      <c r="D126" t="s">
        <v>10</v>
      </c>
      <c r="E126">
        <v>5</v>
      </c>
      <c r="F126" t="str">
        <f>+CHOOSE(Tbl_2021[[#This Row],[Type of Service]],"PEST","Disinfe","Rodent","Bird","Termite")</f>
        <v>Termite</v>
      </c>
      <c r="G126">
        <v>3</v>
      </c>
      <c r="H126" s="4">
        <f>+CHOOSE(Tbl_2021[[#This Row],[Type of Service]],2020,3500,3200,4100,5300)*Tbl_2021[[#This Row],[No of Visits]]</f>
        <v>15900</v>
      </c>
    </row>
    <row r="127" spans="2:8" x14ac:dyDescent="0.3">
      <c r="B127" t="s">
        <v>136</v>
      </c>
      <c r="C127" t="s">
        <v>800</v>
      </c>
      <c r="D127" t="s">
        <v>12</v>
      </c>
      <c r="E127">
        <v>4</v>
      </c>
      <c r="F127" t="str">
        <f>+CHOOSE(Tbl_2021[[#This Row],[Type of Service]],"PEST","Disinfe","Rodent","Bird","Termite")</f>
        <v>Bird</v>
      </c>
      <c r="G127">
        <v>30</v>
      </c>
      <c r="H127" s="4">
        <f>+CHOOSE(Tbl_2021[[#This Row],[Type of Service]],2020,3500,3200,4100,5300)*Tbl_2021[[#This Row],[No of Visits]]</f>
        <v>123000</v>
      </c>
    </row>
    <row r="128" spans="2:8" x14ac:dyDescent="0.3">
      <c r="B128" t="s">
        <v>137</v>
      </c>
      <c r="C128" t="s">
        <v>801</v>
      </c>
      <c r="D128" t="s">
        <v>14</v>
      </c>
      <c r="E128">
        <v>5</v>
      </c>
      <c r="F128" t="str">
        <f>+CHOOSE(Tbl_2021[[#This Row],[Type of Service]],"PEST","Disinfe","Rodent","Bird","Termite")</f>
        <v>Termite</v>
      </c>
      <c r="G128">
        <v>15</v>
      </c>
      <c r="H128" s="4">
        <f>+CHOOSE(Tbl_2021[[#This Row],[Type of Service]],2020,3500,3200,4100,5300)*Tbl_2021[[#This Row],[No of Visits]]</f>
        <v>79500</v>
      </c>
    </row>
    <row r="129" spans="2:8" x14ac:dyDescent="0.3">
      <c r="B129" t="s">
        <v>138</v>
      </c>
      <c r="C129" t="s">
        <v>802</v>
      </c>
      <c r="D129" t="s">
        <v>16</v>
      </c>
      <c r="E129">
        <v>1</v>
      </c>
      <c r="F129" t="str">
        <f>+CHOOSE(Tbl_2021[[#This Row],[Type of Service]],"PEST","Disinfe","Rodent","Bird","Termite")</f>
        <v>PEST</v>
      </c>
      <c r="G129">
        <v>11</v>
      </c>
      <c r="H129" s="4">
        <f>+CHOOSE(Tbl_2021[[#This Row],[Type of Service]],2020,3500,3200,4100,5300)*Tbl_2021[[#This Row],[No of Visits]]</f>
        <v>22220</v>
      </c>
    </row>
    <row r="130" spans="2:8" x14ac:dyDescent="0.3">
      <c r="B130" t="s">
        <v>139</v>
      </c>
      <c r="C130" t="s">
        <v>803</v>
      </c>
      <c r="D130" t="s">
        <v>4</v>
      </c>
      <c r="E130">
        <v>5</v>
      </c>
      <c r="F130" t="str">
        <f>+CHOOSE(Tbl_2021[[#This Row],[Type of Service]],"PEST","Disinfe","Rodent","Bird","Termite")</f>
        <v>Termite</v>
      </c>
      <c r="G130">
        <v>27</v>
      </c>
      <c r="H130" s="4">
        <f>+CHOOSE(Tbl_2021[[#This Row],[Type of Service]],2020,3500,3200,4100,5300)*Tbl_2021[[#This Row],[No of Visits]]</f>
        <v>143100</v>
      </c>
    </row>
    <row r="131" spans="2:8" x14ac:dyDescent="0.3">
      <c r="B131" t="s">
        <v>140</v>
      </c>
      <c r="C131" t="s">
        <v>804</v>
      </c>
      <c r="D131" t="s">
        <v>6</v>
      </c>
      <c r="E131">
        <v>4</v>
      </c>
      <c r="F131" t="str">
        <f>+CHOOSE(Tbl_2021[[#This Row],[Type of Service]],"PEST","Disinfe","Rodent","Bird","Termite")</f>
        <v>Bird</v>
      </c>
      <c r="G131">
        <v>9</v>
      </c>
      <c r="H131" s="4">
        <f>+CHOOSE(Tbl_2021[[#This Row],[Type of Service]],2020,3500,3200,4100,5300)*Tbl_2021[[#This Row],[No of Visits]]</f>
        <v>36900</v>
      </c>
    </row>
    <row r="132" spans="2:8" x14ac:dyDescent="0.3">
      <c r="B132" t="s">
        <v>141</v>
      </c>
      <c r="C132" t="s">
        <v>727</v>
      </c>
      <c r="D132" t="s">
        <v>8</v>
      </c>
      <c r="E132">
        <v>4</v>
      </c>
      <c r="F132" t="str">
        <f>+CHOOSE(Tbl_2021[[#This Row],[Type of Service]],"PEST","Disinfe","Rodent","Bird","Termite")</f>
        <v>Bird</v>
      </c>
      <c r="G132">
        <v>16</v>
      </c>
      <c r="H132" s="4">
        <f>+CHOOSE(Tbl_2021[[#This Row],[Type of Service]],2020,3500,3200,4100,5300)*Tbl_2021[[#This Row],[No of Visits]]</f>
        <v>65600</v>
      </c>
    </row>
    <row r="133" spans="2:8" x14ac:dyDescent="0.3">
      <c r="B133" t="s">
        <v>142</v>
      </c>
      <c r="C133" t="s">
        <v>805</v>
      </c>
      <c r="D133" t="s">
        <v>10</v>
      </c>
      <c r="E133">
        <v>5</v>
      </c>
      <c r="F133" t="str">
        <f>+CHOOSE(Tbl_2021[[#This Row],[Type of Service]],"PEST","Disinfe","Rodent","Bird","Termite")</f>
        <v>Termite</v>
      </c>
      <c r="G133">
        <v>10</v>
      </c>
      <c r="H133" s="4">
        <f>+CHOOSE(Tbl_2021[[#This Row],[Type of Service]],2020,3500,3200,4100,5300)*Tbl_2021[[#This Row],[No of Visits]]</f>
        <v>53000</v>
      </c>
    </row>
    <row r="134" spans="2:8" x14ac:dyDescent="0.3">
      <c r="B134" t="s">
        <v>143</v>
      </c>
      <c r="C134" t="s">
        <v>806</v>
      </c>
      <c r="D134" t="s">
        <v>12</v>
      </c>
      <c r="E134">
        <v>4</v>
      </c>
      <c r="F134" t="str">
        <f>+CHOOSE(Tbl_2021[[#This Row],[Type of Service]],"PEST","Disinfe","Rodent","Bird","Termite")</f>
        <v>Bird</v>
      </c>
      <c r="G134">
        <v>5</v>
      </c>
      <c r="H134" s="4">
        <f>+CHOOSE(Tbl_2021[[#This Row],[Type of Service]],2020,3500,3200,4100,5300)*Tbl_2021[[#This Row],[No of Visits]]</f>
        <v>20500</v>
      </c>
    </row>
    <row r="135" spans="2:8" x14ac:dyDescent="0.3">
      <c r="B135" t="s">
        <v>144</v>
      </c>
      <c r="C135" t="s">
        <v>807</v>
      </c>
      <c r="D135" t="s">
        <v>14</v>
      </c>
      <c r="E135">
        <v>5</v>
      </c>
      <c r="F135" t="str">
        <f>+CHOOSE(Tbl_2021[[#This Row],[Type of Service]],"PEST","Disinfe","Rodent","Bird","Termite")</f>
        <v>Termite</v>
      </c>
      <c r="G135">
        <v>15</v>
      </c>
      <c r="H135" s="4">
        <f>+CHOOSE(Tbl_2021[[#This Row],[Type of Service]],2020,3500,3200,4100,5300)*Tbl_2021[[#This Row],[No of Visits]]</f>
        <v>79500</v>
      </c>
    </row>
    <row r="136" spans="2:8" x14ac:dyDescent="0.3">
      <c r="B136" t="s">
        <v>145</v>
      </c>
      <c r="C136" t="s">
        <v>734</v>
      </c>
      <c r="D136" t="s">
        <v>16</v>
      </c>
      <c r="E136">
        <v>1</v>
      </c>
      <c r="F136" t="str">
        <f>+CHOOSE(Tbl_2021[[#This Row],[Type of Service]],"PEST","Disinfe","Rodent","Bird","Termite")</f>
        <v>PEST</v>
      </c>
      <c r="G136">
        <v>23</v>
      </c>
      <c r="H136" s="4">
        <f>+CHOOSE(Tbl_2021[[#This Row],[Type of Service]],2020,3500,3200,4100,5300)*Tbl_2021[[#This Row],[No of Visits]]</f>
        <v>46460</v>
      </c>
    </row>
    <row r="137" spans="2:8" x14ac:dyDescent="0.3">
      <c r="B137" t="s">
        <v>146</v>
      </c>
      <c r="C137" t="s">
        <v>808</v>
      </c>
      <c r="D137" t="s">
        <v>4</v>
      </c>
      <c r="E137">
        <v>2</v>
      </c>
      <c r="F137" t="str">
        <f>+CHOOSE(Tbl_2021[[#This Row],[Type of Service]],"PEST","Disinfe","Rodent","Bird","Termite")</f>
        <v>Disinfe</v>
      </c>
      <c r="G137">
        <v>28</v>
      </c>
      <c r="H137" s="4">
        <f>+CHOOSE(Tbl_2021[[#This Row],[Type of Service]],2020,3500,3200,4100,5300)*Tbl_2021[[#This Row],[No of Visits]]</f>
        <v>98000</v>
      </c>
    </row>
    <row r="138" spans="2:8" x14ac:dyDescent="0.3">
      <c r="B138" t="s">
        <v>147</v>
      </c>
      <c r="C138" t="s">
        <v>809</v>
      </c>
      <c r="D138" t="s">
        <v>6</v>
      </c>
      <c r="E138">
        <v>1</v>
      </c>
      <c r="F138" t="str">
        <f>+CHOOSE(Tbl_2021[[#This Row],[Type of Service]],"PEST","Disinfe","Rodent","Bird","Termite")</f>
        <v>PEST</v>
      </c>
      <c r="G138">
        <v>25</v>
      </c>
      <c r="H138" s="4">
        <f>+CHOOSE(Tbl_2021[[#This Row],[Type of Service]],2020,3500,3200,4100,5300)*Tbl_2021[[#This Row],[No of Visits]]</f>
        <v>50500</v>
      </c>
    </row>
    <row r="139" spans="2:8" x14ac:dyDescent="0.3">
      <c r="B139" t="s">
        <v>148</v>
      </c>
      <c r="C139" t="s">
        <v>810</v>
      </c>
      <c r="D139" t="s">
        <v>8</v>
      </c>
      <c r="E139">
        <v>4</v>
      </c>
      <c r="F139" t="str">
        <f>+CHOOSE(Tbl_2021[[#This Row],[Type of Service]],"PEST","Disinfe","Rodent","Bird","Termite")</f>
        <v>Bird</v>
      </c>
      <c r="G139">
        <v>28</v>
      </c>
      <c r="H139" s="4">
        <f>+CHOOSE(Tbl_2021[[#This Row],[Type of Service]],2020,3500,3200,4100,5300)*Tbl_2021[[#This Row],[No of Visits]]</f>
        <v>114800</v>
      </c>
    </row>
    <row r="140" spans="2:8" x14ac:dyDescent="0.3">
      <c r="B140" t="s">
        <v>149</v>
      </c>
      <c r="C140" t="s">
        <v>811</v>
      </c>
      <c r="D140" t="s">
        <v>10</v>
      </c>
      <c r="E140">
        <v>2</v>
      </c>
      <c r="F140" t="str">
        <f>+CHOOSE(Tbl_2021[[#This Row],[Type of Service]],"PEST","Disinfe","Rodent","Bird","Termite")</f>
        <v>Disinfe</v>
      </c>
      <c r="G140">
        <v>32</v>
      </c>
      <c r="H140" s="4">
        <f>+CHOOSE(Tbl_2021[[#This Row],[Type of Service]],2020,3500,3200,4100,5300)*Tbl_2021[[#This Row],[No of Visits]]</f>
        <v>112000</v>
      </c>
    </row>
    <row r="141" spans="2:8" x14ac:dyDescent="0.3">
      <c r="B141" t="s">
        <v>150</v>
      </c>
      <c r="C141" t="s">
        <v>812</v>
      </c>
      <c r="D141" t="s">
        <v>12</v>
      </c>
      <c r="E141">
        <v>4</v>
      </c>
      <c r="F141" t="str">
        <f>+CHOOSE(Tbl_2021[[#This Row],[Type of Service]],"PEST","Disinfe","Rodent","Bird","Termite")</f>
        <v>Bird</v>
      </c>
      <c r="G141">
        <v>16</v>
      </c>
      <c r="H141" s="4">
        <f>+CHOOSE(Tbl_2021[[#This Row],[Type of Service]],2020,3500,3200,4100,5300)*Tbl_2021[[#This Row],[No of Visits]]</f>
        <v>65600</v>
      </c>
    </row>
    <row r="142" spans="2:8" x14ac:dyDescent="0.3">
      <c r="B142" t="s">
        <v>151</v>
      </c>
      <c r="C142" t="s">
        <v>754</v>
      </c>
      <c r="D142" t="s">
        <v>14</v>
      </c>
      <c r="E142">
        <v>2</v>
      </c>
      <c r="F142" t="str">
        <f>+CHOOSE(Tbl_2021[[#This Row],[Type of Service]],"PEST","Disinfe","Rodent","Bird","Termite")</f>
        <v>Disinfe</v>
      </c>
      <c r="G142">
        <v>16</v>
      </c>
      <c r="H142" s="4">
        <f>+CHOOSE(Tbl_2021[[#This Row],[Type of Service]],2020,3500,3200,4100,5300)*Tbl_2021[[#This Row],[No of Visits]]</f>
        <v>56000</v>
      </c>
    </row>
    <row r="143" spans="2:8" x14ac:dyDescent="0.3">
      <c r="B143" t="s">
        <v>152</v>
      </c>
      <c r="C143" t="s">
        <v>813</v>
      </c>
      <c r="D143" t="s">
        <v>16</v>
      </c>
      <c r="E143">
        <v>5</v>
      </c>
      <c r="F143" t="str">
        <f>+CHOOSE(Tbl_2021[[#This Row],[Type of Service]],"PEST","Disinfe","Rodent","Bird","Termite")</f>
        <v>Termite</v>
      </c>
      <c r="G143">
        <v>10</v>
      </c>
      <c r="H143" s="4">
        <f>+CHOOSE(Tbl_2021[[#This Row],[Type of Service]],2020,3500,3200,4100,5300)*Tbl_2021[[#This Row],[No of Visits]]</f>
        <v>53000</v>
      </c>
    </row>
    <row r="144" spans="2:8" x14ac:dyDescent="0.3">
      <c r="B144" t="s">
        <v>153</v>
      </c>
      <c r="C144" t="s">
        <v>814</v>
      </c>
      <c r="D144" t="s">
        <v>4</v>
      </c>
      <c r="E144">
        <v>1</v>
      </c>
      <c r="F144" t="str">
        <f>+CHOOSE(Tbl_2021[[#This Row],[Type of Service]],"PEST","Disinfe","Rodent","Bird","Termite")</f>
        <v>PEST</v>
      </c>
      <c r="G144">
        <v>12</v>
      </c>
      <c r="H144" s="4">
        <f>+CHOOSE(Tbl_2021[[#This Row],[Type of Service]],2020,3500,3200,4100,5300)*Tbl_2021[[#This Row],[No of Visits]]</f>
        <v>24240</v>
      </c>
    </row>
    <row r="145" spans="2:8" x14ac:dyDescent="0.3">
      <c r="B145" t="s">
        <v>154</v>
      </c>
      <c r="C145" t="s">
        <v>815</v>
      </c>
      <c r="D145" t="s">
        <v>6</v>
      </c>
      <c r="E145">
        <v>4</v>
      </c>
      <c r="F145" t="str">
        <f>+CHOOSE(Tbl_2021[[#This Row],[Type of Service]],"PEST","Disinfe","Rodent","Bird","Termite")</f>
        <v>Bird</v>
      </c>
      <c r="G145">
        <v>26</v>
      </c>
      <c r="H145" s="4">
        <f>+CHOOSE(Tbl_2021[[#This Row],[Type of Service]],2020,3500,3200,4100,5300)*Tbl_2021[[#This Row],[No of Visits]]</f>
        <v>106600</v>
      </c>
    </row>
    <row r="146" spans="2:8" x14ac:dyDescent="0.3">
      <c r="B146" t="s">
        <v>155</v>
      </c>
      <c r="C146" t="s">
        <v>816</v>
      </c>
      <c r="D146" t="s">
        <v>8</v>
      </c>
      <c r="E146">
        <v>4</v>
      </c>
      <c r="F146" t="str">
        <f>+CHOOSE(Tbl_2021[[#This Row],[Type of Service]],"PEST","Disinfe","Rodent","Bird","Termite")</f>
        <v>Bird</v>
      </c>
      <c r="G146">
        <v>34</v>
      </c>
      <c r="H146" s="4">
        <f>+CHOOSE(Tbl_2021[[#This Row],[Type of Service]],2020,3500,3200,4100,5300)*Tbl_2021[[#This Row],[No of Visits]]</f>
        <v>139400</v>
      </c>
    </row>
    <row r="147" spans="2:8" x14ac:dyDescent="0.3">
      <c r="B147" t="s">
        <v>156</v>
      </c>
      <c r="C147" t="s">
        <v>817</v>
      </c>
      <c r="D147" t="s">
        <v>10</v>
      </c>
      <c r="E147">
        <v>2</v>
      </c>
      <c r="F147" t="str">
        <f>+CHOOSE(Tbl_2021[[#This Row],[Type of Service]],"PEST","Disinfe","Rodent","Bird","Termite")</f>
        <v>Disinfe</v>
      </c>
      <c r="G147">
        <v>7</v>
      </c>
      <c r="H147" s="4">
        <f>+CHOOSE(Tbl_2021[[#This Row],[Type of Service]],2020,3500,3200,4100,5300)*Tbl_2021[[#This Row],[No of Visits]]</f>
        <v>24500</v>
      </c>
    </row>
    <row r="148" spans="2:8" x14ac:dyDescent="0.3">
      <c r="B148" t="s">
        <v>157</v>
      </c>
      <c r="C148" t="s">
        <v>818</v>
      </c>
      <c r="D148" t="s">
        <v>12</v>
      </c>
      <c r="E148">
        <v>2</v>
      </c>
      <c r="F148" t="str">
        <f>+CHOOSE(Tbl_2021[[#This Row],[Type of Service]],"PEST","Disinfe","Rodent","Bird","Termite")</f>
        <v>Disinfe</v>
      </c>
      <c r="G148">
        <v>13</v>
      </c>
      <c r="H148" s="4">
        <f>+CHOOSE(Tbl_2021[[#This Row],[Type of Service]],2020,3500,3200,4100,5300)*Tbl_2021[[#This Row],[No of Visits]]</f>
        <v>45500</v>
      </c>
    </row>
    <row r="149" spans="2:8" x14ac:dyDescent="0.3">
      <c r="B149" t="s">
        <v>158</v>
      </c>
      <c r="C149" t="s">
        <v>819</v>
      </c>
      <c r="D149" t="s">
        <v>14</v>
      </c>
      <c r="E149">
        <v>2</v>
      </c>
      <c r="F149" t="str">
        <f>+CHOOSE(Tbl_2021[[#This Row],[Type of Service]],"PEST","Disinfe","Rodent","Bird","Termite")</f>
        <v>Disinfe</v>
      </c>
      <c r="G149">
        <v>9</v>
      </c>
      <c r="H149" s="4">
        <f>+CHOOSE(Tbl_2021[[#This Row],[Type of Service]],2020,3500,3200,4100,5300)*Tbl_2021[[#This Row],[No of Visits]]</f>
        <v>31500</v>
      </c>
    </row>
    <row r="150" spans="2:8" x14ac:dyDescent="0.3">
      <c r="B150" t="s">
        <v>159</v>
      </c>
      <c r="C150" t="s">
        <v>820</v>
      </c>
      <c r="D150" t="s">
        <v>16</v>
      </c>
      <c r="E150">
        <v>1</v>
      </c>
      <c r="F150" t="str">
        <f>+CHOOSE(Tbl_2021[[#This Row],[Type of Service]],"PEST","Disinfe","Rodent","Bird","Termite")</f>
        <v>PEST</v>
      </c>
      <c r="G150">
        <v>2</v>
      </c>
      <c r="H150" s="4">
        <f>+CHOOSE(Tbl_2021[[#This Row],[Type of Service]],2020,3500,3200,4100,5300)*Tbl_2021[[#This Row],[No of Visits]]</f>
        <v>4040</v>
      </c>
    </row>
    <row r="151" spans="2:8" x14ac:dyDescent="0.3">
      <c r="B151" t="s">
        <v>160</v>
      </c>
      <c r="C151" t="s">
        <v>821</v>
      </c>
      <c r="D151" t="s">
        <v>4</v>
      </c>
      <c r="E151">
        <v>5</v>
      </c>
      <c r="F151" t="str">
        <f>+CHOOSE(Tbl_2021[[#This Row],[Type of Service]],"PEST","Disinfe","Rodent","Bird","Termite")</f>
        <v>Termite</v>
      </c>
      <c r="G151">
        <v>12</v>
      </c>
      <c r="H151" s="4">
        <f>+CHOOSE(Tbl_2021[[#This Row],[Type of Service]],2020,3500,3200,4100,5300)*Tbl_2021[[#This Row],[No of Visits]]</f>
        <v>63600</v>
      </c>
    </row>
    <row r="152" spans="2:8" x14ac:dyDescent="0.3">
      <c r="B152" t="s">
        <v>161</v>
      </c>
      <c r="C152" t="s">
        <v>822</v>
      </c>
      <c r="D152" t="s">
        <v>6</v>
      </c>
      <c r="E152">
        <v>1</v>
      </c>
      <c r="F152" t="str">
        <f>+CHOOSE(Tbl_2021[[#This Row],[Type of Service]],"PEST","Disinfe","Rodent","Bird","Termite")</f>
        <v>PEST</v>
      </c>
      <c r="G152">
        <v>5</v>
      </c>
      <c r="H152" s="4">
        <f>+CHOOSE(Tbl_2021[[#This Row],[Type of Service]],2020,3500,3200,4100,5300)*Tbl_2021[[#This Row],[No of Visits]]</f>
        <v>10100</v>
      </c>
    </row>
    <row r="153" spans="2:8" x14ac:dyDescent="0.3">
      <c r="B153" t="s">
        <v>162</v>
      </c>
      <c r="C153" t="s">
        <v>823</v>
      </c>
      <c r="D153" t="s">
        <v>8</v>
      </c>
      <c r="E153">
        <v>1</v>
      </c>
      <c r="F153" t="str">
        <f>+CHOOSE(Tbl_2021[[#This Row],[Type of Service]],"PEST","Disinfe","Rodent","Bird","Termite")</f>
        <v>PEST</v>
      </c>
      <c r="G153">
        <v>12</v>
      </c>
      <c r="H153" s="4">
        <f>+CHOOSE(Tbl_2021[[#This Row],[Type of Service]],2020,3500,3200,4100,5300)*Tbl_2021[[#This Row],[No of Visits]]</f>
        <v>24240</v>
      </c>
    </row>
    <row r="154" spans="2:8" x14ac:dyDescent="0.3">
      <c r="B154" t="s">
        <v>163</v>
      </c>
      <c r="C154" t="s">
        <v>824</v>
      </c>
      <c r="D154" t="s">
        <v>10</v>
      </c>
      <c r="E154">
        <v>1</v>
      </c>
      <c r="F154" t="str">
        <f>+CHOOSE(Tbl_2021[[#This Row],[Type of Service]],"PEST","Disinfe","Rodent","Bird","Termite")</f>
        <v>PEST</v>
      </c>
      <c r="G154">
        <v>27</v>
      </c>
      <c r="H154" s="4">
        <f>+CHOOSE(Tbl_2021[[#This Row],[Type of Service]],2020,3500,3200,4100,5300)*Tbl_2021[[#This Row],[No of Visits]]</f>
        <v>54540</v>
      </c>
    </row>
    <row r="155" spans="2:8" x14ac:dyDescent="0.3">
      <c r="B155" t="s">
        <v>164</v>
      </c>
      <c r="C155" t="s">
        <v>825</v>
      </c>
      <c r="D155" t="s">
        <v>12</v>
      </c>
      <c r="E155">
        <v>4</v>
      </c>
      <c r="F155" t="str">
        <f>+CHOOSE(Tbl_2021[[#This Row],[Type of Service]],"PEST","Disinfe","Rodent","Bird","Termite")</f>
        <v>Bird</v>
      </c>
      <c r="G155">
        <v>6</v>
      </c>
      <c r="H155" s="4">
        <f>+CHOOSE(Tbl_2021[[#This Row],[Type of Service]],2020,3500,3200,4100,5300)*Tbl_2021[[#This Row],[No of Visits]]</f>
        <v>24600</v>
      </c>
    </row>
    <row r="156" spans="2:8" x14ac:dyDescent="0.3">
      <c r="B156" t="s">
        <v>165</v>
      </c>
      <c r="C156" t="s">
        <v>745</v>
      </c>
      <c r="D156" t="s">
        <v>14</v>
      </c>
      <c r="E156">
        <v>5</v>
      </c>
      <c r="F156" t="str">
        <f>+CHOOSE(Tbl_2021[[#This Row],[Type of Service]],"PEST","Disinfe","Rodent","Bird","Termite")</f>
        <v>Termite</v>
      </c>
      <c r="G156">
        <v>32</v>
      </c>
      <c r="H156" s="4">
        <f>+CHOOSE(Tbl_2021[[#This Row],[Type of Service]],2020,3500,3200,4100,5300)*Tbl_2021[[#This Row],[No of Visits]]</f>
        <v>169600</v>
      </c>
    </row>
    <row r="157" spans="2:8" x14ac:dyDescent="0.3">
      <c r="B157" t="s">
        <v>166</v>
      </c>
      <c r="C157" t="s">
        <v>826</v>
      </c>
      <c r="D157" t="s">
        <v>16</v>
      </c>
      <c r="E157">
        <v>4</v>
      </c>
      <c r="F157" t="str">
        <f>+CHOOSE(Tbl_2021[[#This Row],[Type of Service]],"PEST","Disinfe","Rodent","Bird","Termite")</f>
        <v>Bird</v>
      </c>
      <c r="G157">
        <v>19</v>
      </c>
      <c r="H157" s="4">
        <f>+CHOOSE(Tbl_2021[[#This Row],[Type of Service]],2020,3500,3200,4100,5300)*Tbl_2021[[#This Row],[No of Visits]]</f>
        <v>77900</v>
      </c>
    </row>
    <row r="158" spans="2:8" x14ac:dyDescent="0.3">
      <c r="B158" t="s">
        <v>167</v>
      </c>
      <c r="C158" t="s">
        <v>827</v>
      </c>
      <c r="D158" t="s">
        <v>4</v>
      </c>
      <c r="E158">
        <v>5</v>
      </c>
      <c r="F158" t="str">
        <f>+CHOOSE(Tbl_2021[[#This Row],[Type of Service]],"PEST","Disinfe","Rodent","Bird","Termite")</f>
        <v>Termite</v>
      </c>
      <c r="G158">
        <v>8</v>
      </c>
      <c r="H158" s="4">
        <f>+CHOOSE(Tbl_2021[[#This Row],[Type of Service]],2020,3500,3200,4100,5300)*Tbl_2021[[#This Row],[No of Visits]]</f>
        <v>42400</v>
      </c>
    </row>
    <row r="159" spans="2:8" x14ac:dyDescent="0.3">
      <c r="B159" t="s">
        <v>168</v>
      </c>
      <c r="C159" t="s">
        <v>828</v>
      </c>
      <c r="D159" t="s">
        <v>6</v>
      </c>
      <c r="E159">
        <v>4</v>
      </c>
      <c r="F159" t="str">
        <f>+CHOOSE(Tbl_2021[[#This Row],[Type of Service]],"PEST","Disinfe","Rodent","Bird","Termite")</f>
        <v>Bird</v>
      </c>
      <c r="G159">
        <v>21</v>
      </c>
      <c r="H159" s="4">
        <f>+CHOOSE(Tbl_2021[[#This Row],[Type of Service]],2020,3500,3200,4100,5300)*Tbl_2021[[#This Row],[No of Visits]]</f>
        <v>86100</v>
      </c>
    </row>
    <row r="160" spans="2:8" x14ac:dyDescent="0.3">
      <c r="B160" t="s">
        <v>169</v>
      </c>
      <c r="C160" t="s">
        <v>829</v>
      </c>
      <c r="D160" t="s">
        <v>8</v>
      </c>
      <c r="E160">
        <v>5</v>
      </c>
      <c r="F160" t="str">
        <f>+CHOOSE(Tbl_2021[[#This Row],[Type of Service]],"PEST","Disinfe","Rodent","Bird","Termite")</f>
        <v>Termite</v>
      </c>
      <c r="G160">
        <v>10</v>
      </c>
      <c r="H160" s="4">
        <f>+CHOOSE(Tbl_2021[[#This Row],[Type of Service]],2020,3500,3200,4100,5300)*Tbl_2021[[#This Row],[No of Visits]]</f>
        <v>53000</v>
      </c>
    </row>
    <row r="161" spans="2:8" x14ac:dyDescent="0.3">
      <c r="B161" t="s">
        <v>170</v>
      </c>
      <c r="C161" t="s">
        <v>830</v>
      </c>
      <c r="D161" t="s">
        <v>10</v>
      </c>
      <c r="E161">
        <v>1</v>
      </c>
      <c r="F161" t="str">
        <f>+CHOOSE(Tbl_2021[[#This Row],[Type of Service]],"PEST","Disinfe","Rodent","Bird","Termite")</f>
        <v>PEST</v>
      </c>
      <c r="G161">
        <v>31</v>
      </c>
      <c r="H161" s="4">
        <f>+CHOOSE(Tbl_2021[[#This Row],[Type of Service]],2020,3500,3200,4100,5300)*Tbl_2021[[#This Row],[No of Visits]]</f>
        <v>62620</v>
      </c>
    </row>
    <row r="162" spans="2:8" x14ac:dyDescent="0.3">
      <c r="B162" t="s">
        <v>171</v>
      </c>
      <c r="C162" t="s">
        <v>831</v>
      </c>
      <c r="D162" t="s">
        <v>12</v>
      </c>
      <c r="E162">
        <v>4</v>
      </c>
      <c r="F162" t="str">
        <f>+CHOOSE(Tbl_2021[[#This Row],[Type of Service]],"PEST","Disinfe","Rodent","Bird","Termite")</f>
        <v>Bird</v>
      </c>
      <c r="G162">
        <v>1</v>
      </c>
      <c r="H162" s="4">
        <f>+CHOOSE(Tbl_2021[[#This Row],[Type of Service]],2020,3500,3200,4100,5300)*Tbl_2021[[#This Row],[No of Visits]]</f>
        <v>4100</v>
      </c>
    </row>
    <row r="163" spans="2:8" x14ac:dyDescent="0.3">
      <c r="B163" t="s">
        <v>172</v>
      </c>
      <c r="C163" t="s">
        <v>832</v>
      </c>
      <c r="D163" t="s">
        <v>14</v>
      </c>
      <c r="E163">
        <v>4</v>
      </c>
      <c r="F163" t="str">
        <f>+CHOOSE(Tbl_2021[[#This Row],[Type of Service]],"PEST","Disinfe","Rodent","Bird","Termite")</f>
        <v>Bird</v>
      </c>
      <c r="G163">
        <v>29</v>
      </c>
      <c r="H163" s="4">
        <f>+CHOOSE(Tbl_2021[[#This Row],[Type of Service]],2020,3500,3200,4100,5300)*Tbl_2021[[#This Row],[No of Visits]]</f>
        <v>118900</v>
      </c>
    </row>
    <row r="164" spans="2:8" x14ac:dyDescent="0.3">
      <c r="B164" t="s">
        <v>173</v>
      </c>
      <c r="C164" t="s">
        <v>833</v>
      </c>
      <c r="D164" t="s">
        <v>16</v>
      </c>
      <c r="E164">
        <v>2</v>
      </c>
      <c r="F164" t="str">
        <f>+CHOOSE(Tbl_2021[[#This Row],[Type of Service]],"PEST","Disinfe","Rodent","Bird","Termite")</f>
        <v>Disinfe</v>
      </c>
      <c r="G164">
        <v>6</v>
      </c>
      <c r="H164" s="4">
        <f>+CHOOSE(Tbl_2021[[#This Row],[Type of Service]],2020,3500,3200,4100,5300)*Tbl_2021[[#This Row],[No of Visits]]</f>
        <v>21000</v>
      </c>
    </row>
    <row r="165" spans="2:8" x14ac:dyDescent="0.3">
      <c r="B165" t="s">
        <v>174</v>
      </c>
      <c r="C165" t="s">
        <v>834</v>
      </c>
      <c r="D165" t="s">
        <v>4</v>
      </c>
      <c r="E165">
        <v>2</v>
      </c>
      <c r="F165" t="str">
        <f>+CHOOSE(Tbl_2021[[#This Row],[Type of Service]],"PEST","Disinfe","Rodent","Bird","Termite")</f>
        <v>Disinfe</v>
      </c>
      <c r="G165">
        <v>3</v>
      </c>
      <c r="H165" s="4">
        <f>+CHOOSE(Tbl_2021[[#This Row],[Type of Service]],2020,3500,3200,4100,5300)*Tbl_2021[[#This Row],[No of Visits]]</f>
        <v>10500</v>
      </c>
    </row>
    <row r="166" spans="2:8" x14ac:dyDescent="0.3">
      <c r="B166" t="s">
        <v>175</v>
      </c>
      <c r="C166" t="s">
        <v>835</v>
      </c>
      <c r="D166" t="s">
        <v>6</v>
      </c>
      <c r="E166">
        <v>4</v>
      </c>
      <c r="F166" t="str">
        <f>+CHOOSE(Tbl_2021[[#This Row],[Type of Service]],"PEST","Disinfe","Rodent","Bird","Termite")</f>
        <v>Bird</v>
      </c>
      <c r="G166">
        <v>6</v>
      </c>
      <c r="H166" s="4">
        <f>+CHOOSE(Tbl_2021[[#This Row],[Type of Service]],2020,3500,3200,4100,5300)*Tbl_2021[[#This Row],[No of Visits]]</f>
        <v>24600</v>
      </c>
    </row>
    <row r="167" spans="2:8" x14ac:dyDescent="0.3">
      <c r="B167" t="s">
        <v>176</v>
      </c>
      <c r="C167" t="s">
        <v>836</v>
      </c>
      <c r="D167" t="s">
        <v>8</v>
      </c>
      <c r="E167">
        <v>1</v>
      </c>
      <c r="F167" t="str">
        <f>+CHOOSE(Tbl_2021[[#This Row],[Type of Service]],"PEST","Disinfe","Rodent","Bird","Termite")</f>
        <v>PEST</v>
      </c>
      <c r="G167">
        <v>36</v>
      </c>
      <c r="H167" s="4">
        <f>+CHOOSE(Tbl_2021[[#This Row],[Type of Service]],2020,3500,3200,4100,5300)*Tbl_2021[[#This Row],[No of Visits]]</f>
        <v>72720</v>
      </c>
    </row>
    <row r="168" spans="2:8" x14ac:dyDescent="0.3">
      <c r="B168" t="s">
        <v>177</v>
      </c>
      <c r="C168" t="s">
        <v>837</v>
      </c>
      <c r="D168" t="s">
        <v>10</v>
      </c>
      <c r="E168">
        <v>4</v>
      </c>
      <c r="F168" t="str">
        <f>+CHOOSE(Tbl_2021[[#This Row],[Type of Service]],"PEST","Disinfe","Rodent","Bird","Termite")</f>
        <v>Bird</v>
      </c>
      <c r="G168">
        <v>34</v>
      </c>
      <c r="H168" s="4">
        <f>+CHOOSE(Tbl_2021[[#This Row],[Type of Service]],2020,3500,3200,4100,5300)*Tbl_2021[[#This Row],[No of Visits]]</f>
        <v>139400</v>
      </c>
    </row>
    <row r="169" spans="2:8" x14ac:dyDescent="0.3">
      <c r="B169" t="s">
        <v>178</v>
      </c>
      <c r="C169" t="s">
        <v>838</v>
      </c>
      <c r="D169" t="s">
        <v>12</v>
      </c>
      <c r="E169">
        <v>1</v>
      </c>
      <c r="F169" t="str">
        <f>+CHOOSE(Tbl_2021[[#This Row],[Type of Service]],"PEST","Disinfe","Rodent","Bird","Termite")</f>
        <v>PEST</v>
      </c>
      <c r="G169">
        <v>20</v>
      </c>
      <c r="H169" s="4">
        <f>+CHOOSE(Tbl_2021[[#This Row],[Type of Service]],2020,3500,3200,4100,5300)*Tbl_2021[[#This Row],[No of Visits]]</f>
        <v>40400</v>
      </c>
    </row>
    <row r="170" spans="2:8" x14ac:dyDescent="0.3">
      <c r="B170" t="s">
        <v>179</v>
      </c>
      <c r="C170" t="s">
        <v>839</v>
      </c>
      <c r="D170" t="s">
        <v>14</v>
      </c>
      <c r="E170">
        <v>2</v>
      </c>
      <c r="F170" t="str">
        <f>+CHOOSE(Tbl_2021[[#This Row],[Type of Service]],"PEST","Disinfe","Rodent","Bird","Termite")</f>
        <v>Disinfe</v>
      </c>
      <c r="G170">
        <v>20</v>
      </c>
      <c r="H170" s="4">
        <f>+CHOOSE(Tbl_2021[[#This Row],[Type of Service]],2020,3500,3200,4100,5300)*Tbl_2021[[#This Row],[No of Visits]]</f>
        <v>70000</v>
      </c>
    </row>
    <row r="171" spans="2:8" x14ac:dyDescent="0.3">
      <c r="B171" t="s">
        <v>180</v>
      </c>
      <c r="C171" t="s">
        <v>840</v>
      </c>
      <c r="D171" t="s">
        <v>16</v>
      </c>
      <c r="E171">
        <v>5</v>
      </c>
      <c r="F171" t="str">
        <f>+CHOOSE(Tbl_2021[[#This Row],[Type of Service]],"PEST","Disinfe","Rodent","Bird","Termite")</f>
        <v>Termite</v>
      </c>
      <c r="G171">
        <v>29</v>
      </c>
      <c r="H171" s="4">
        <f>+CHOOSE(Tbl_2021[[#This Row],[Type of Service]],2020,3500,3200,4100,5300)*Tbl_2021[[#This Row],[No of Visits]]</f>
        <v>153700</v>
      </c>
    </row>
    <row r="172" spans="2:8" x14ac:dyDescent="0.3">
      <c r="B172" t="s">
        <v>181</v>
      </c>
      <c r="C172" t="s">
        <v>841</v>
      </c>
      <c r="D172" t="s">
        <v>4</v>
      </c>
      <c r="E172">
        <v>4</v>
      </c>
      <c r="F172" t="str">
        <f>+CHOOSE(Tbl_2021[[#This Row],[Type of Service]],"PEST","Disinfe","Rodent","Bird","Termite")</f>
        <v>Bird</v>
      </c>
      <c r="G172">
        <v>11</v>
      </c>
      <c r="H172" s="4">
        <f>+CHOOSE(Tbl_2021[[#This Row],[Type of Service]],2020,3500,3200,4100,5300)*Tbl_2021[[#This Row],[No of Visits]]</f>
        <v>45100</v>
      </c>
    </row>
    <row r="173" spans="2:8" x14ac:dyDescent="0.3">
      <c r="B173" t="s">
        <v>182</v>
      </c>
      <c r="C173" t="s">
        <v>842</v>
      </c>
      <c r="D173" t="s">
        <v>6</v>
      </c>
      <c r="E173">
        <v>2</v>
      </c>
      <c r="F173" t="str">
        <f>+CHOOSE(Tbl_2021[[#This Row],[Type of Service]],"PEST","Disinfe","Rodent","Bird","Termite")</f>
        <v>Disinfe</v>
      </c>
      <c r="G173">
        <v>18</v>
      </c>
      <c r="H173" s="4">
        <f>+CHOOSE(Tbl_2021[[#This Row],[Type of Service]],2020,3500,3200,4100,5300)*Tbl_2021[[#This Row],[No of Visits]]</f>
        <v>63000</v>
      </c>
    </row>
    <row r="174" spans="2:8" x14ac:dyDescent="0.3">
      <c r="B174" t="s">
        <v>183</v>
      </c>
      <c r="C174" t="s">
        <v>843</v>
      </c>
      <c r="D174" t="s">
        <v>8</v>
      </c>
      <c r="E174">
        <v>4</v>
      </c>
      <c r="F174" t="str">
        <f>+CHOOSE(Tbl_2021[[#This Row],[Type of Service]],"PEST","Disinfe","Rodent","Bird","Termite")</f>
        <v>Bird</v>
      </c>
      <c r="G174">
        <v>35</v>
      </c>
      <c r="H174" s="4">
        <f>+CHOOSE(Tbl_2021[[#This Row],[Type of Service]],2020,3500,3200,4100,5300)*Tbl_2021[[#This Row],[No of Visits]]</f>
        <v>143500</v>
      </c>
    </row>
    <row r="175" spans="2:8" x14ac:dyDescent="0.3">
      <c r="B175" t="s">
        <v>184</v>
      </c>
      <c r="C175" t="s">
        <v>844</v>
      </c>
      <c r="D175" t="s">
        <v>10</v>
      </c>
      <c r="E175">
        <v>2</v>
      </c>
      <c r="F175" t="str">
        <f>+CHOOSE(Tbl_2021[[#This Row],[Type of Service]],"PEST","Disinfe","Rodent","Bird","Termite")</f>
        <v>Disinfe</v>
      </c>
      <c r="G175">
        <v>11</v>
      </c>
      <c r="H175" s="4">
        <f>+CHOOSE(Tbl_2021[[#This Row],[Type of Service]],2020,3500,3200,4100,5300)*Tbl_2021[[#This Row],[No of Visits]]</f>
        <v>38500</v>
      </c>
    </row>
    <row r="176" spans="2:8" x14ac:dyDescent="0.3">
      <c r="B176" t="s">
        <v>185</v>
      </c>
      <c r="C176" t="s">
        <v>845</v>
      </c>
      <c r="D176" t="s">
        <v>12</v>
      </c>
      <c r="E176">
        <v>1</v>
      </c>
      <c r="F176" t="str">
        <f>+CHOOSE(Tbl_2021[[#This Row],[Type of Service]],"PEST","Disinfe","Rodent","Bird","Termite")</f>
        <v>PEST</v>
      </c>
      <c r="G176">
        <v>22</v>
      </c>
      <c r="H176" s="4">
        <f>+CHOOSE(Tbl_2021[[#This Row],[Type of Service]],2020,3500,3200,4100,5300)*Tbl_2021[[#This Row],[No of Visits]]</f>
        <v>44440</v>
      </c>
    </row>
    <row r="177" spans="2:8" x14ac:dyDescent="0.3">
      <c r="B177" t="s">
        <v>186</v>
      </c>
      <c r="C177" t="s">
        <v>846</v>
      </c>
      <c r="D177" t="s">
        <v>14</v>
      </c>
      <c r="E177">
        <v>1</v>
      </c>
      <c r="F177" t="str">
        <f>+CHOOSE(Tbl_2021[[#This Row],[Type of Service]],"PEST","Disinfe","Rodent","Bird","Termite")</f>
        <v>PEST</v>
      </c>
      <c r="G177">
        <v>2</v>
      </c>
      <c r="H177" s="4">
        <f>+CHOOSE(Tbl_2021[[#This Row],[Type of Service]],2020,3500,3200,4100,5300)*Tbl_2021[[#This Row],[No of Visits]]</f>
        <v>4040</v>
      </c>
    </row>
    <row r="178" spans="2:8" x14ac:dyDescent="0.3">
      <c r="B178" t="s">
        <v>187</v>
      </c>
      <c r="C178" t="s">
        <v>847</v>
      </c>
      <c r="D178" t="s">
        <v>16</v>
      </c>
      <c r="E178">
        <v>2</v>
      </c>
      <c r="F178" t="str">
        <f>+CHOOSE(Tbl_2021[[#This Row],[Type of Service]],"PEST","Disinfe","Rodent","Bird","Termite")</f>
        <v>Disinfe</v>
      </c>
      <c r="G178">
        <v>21</v>
      </c>
      <c r="H178" s="4">
        <f>+CHOOSE(Tbl_2021[[#This Row],[Type of Service]],2020,3500,3200,4100,5300)*Tbl_2021[[#This Row],[No of Visits]]</f>
        <v>73500</v>
      </c>
    </row>
    <row r="179" spans="2:8" x14ac:dyDescent="0.3">
      <c r="B179" t="s">
        <v>188</v>
      </c>
      <c r="C179" t="s">
        <v>848</v>
      </c>
      <c r="D179" t="s">
        <v>4</v>
      </c>
      <c r="E179">
        <v>1</v>
      </c>
      <c r="F179" t="str">
        <f>+CHOOSE(Tbl_2021[[#This Row],[Type of Service]],"PEST","Disinfe","Rodent","Bird","Termite")</f>
        <v>PEST</v>
      </c>
      <c r="G179">
        <v>16</v>
      </c>
      <c r="H179" s="4">
        <f>+CHOOSE(Tbl_2021[[#This Row],[Type of Service]],2020,3500,3200,4100,5300)*Tbl_2021[[#This Row],[No of Visits]]</f>
        <v>32320</v>
      </c>
    </row>
    <row r="180" spans="2:8" x14ac:dyDescent="0.3">
      <c r="B180" t="s">
        <v>189</v>
      </c>
      <c r="C180" t="s">
        <v>849</v>
      </c>
      <c r="D180" t="s">
        <v>6</v>
      </c>
      <c r="E180">
        <v>2</v>
      </c>
      <c r="F180" t="str">
        <f>+CHOOSE(Tbl_2021[[#This Row],[Type of Service]],"PEST","Disinfe","Rodent","Bird","Termite")</f>
        <v>Disinfe</v>
      </c>
      <c r="G180">
        <v>14</v>
      </c>
      <c r="H180" s="4">
        <f>+CHOOSE(Tbl_2021[[#This Row],[Type of Service]],2020,3500,3200,4100,5300)*Tbl_2021[[#This Row],[No of Visits]]</f>
        <v>49000</v>
      </c>
    </row>
    <row r="181" spans="2:8" x14ac:dyDescent="0.3">
      <c r="B181" t="s">
        <v>190</v>
      </c>
      <c r="C181" t="s">
        <v>850</v>
      </c>
      <c r="D181" t="s">
        <v>8</v>
      </c>
      <c r="E181">
        <v>5</v>
      </c>
      <c r="F181" t="str">
        <f>+CHOOSE(Tbl_2021[[#This Row],[Type of Service]],"PEST","Disinfe","Rodent","Bird","Termite")</f>
        <v>Termite</v>
      </c>
      <c r="G181">
        <v>32</v>
      </c>
      <c r="H181" s="4">
        <f>+CHOOSE(Tbl_2021[[#This Row],[Type of Service]],2020,3500,3200,4100,5300)*Tbl_2021[[#This Row],[No of Visits]]</f>
        <v>169600</v>
      </c>
    </row>
    <row r="182" spans="2:8" x14ac:dyDescent="0.3">
      <c r="B182" t="s">
        <v>191</v>
      </c>
      <c r="C182" t="s">
        <v>851</v>
      </c>
      <c r="D182" t="s">
        <v>10</v>
      </c>
      <c r="E182">
        <v>2</v>
      </c>
      <c r="F182" t="str">
        <f>+CHOOSE(Tbl_2021[[#This Row],[Type of Service]],"PEST","Disinfe","Rodent","Bird","Termite")</f>
        <v>Disinfe</v>
      </c>
      <c r="G182">
        <v>32</v>
      </c>
      <c r="H182" s="4">
        <f>+CHOOSE(Tbl_2021[[#This Row],[Type of Service]],2020,3500,3200,4100,5300)*Tbl_2021[[#This Row],[No of Visits]]</f>
        <v>112000</v>
      </c>
    </row>
    <row r="183" spans="2:8" x14ac:dyDescent="0.3">
      <c r="B183" t="s">
        <v>192</v>
      </c>
      <c r="C183" t="s">
        <v>852</v>
      </c>
      <c r="D183" t="s">
        <v>12</v>
      </c>
      <c r="E183">
        <v>2</v>
      </c>
      <c r="F183" t="str">
        <f>+CHOOSE(Tbl_2021[[#This Row],[Type of Service]],"PEST","Disinfe","Rodent","Bird","Termite")</f>
        <v>Disinfe</v>
      </c>
      <c r="G183">
        <v>4</v>
      </c>
      <c r="H183" s="4">
        <f>+CHOOSE(Tbl_2021[[#This Row],[Type of Service]],2020,3500,3200,4100,5300)*Tbl_2021[[#This Row],[No of Visits]]</f>
        <v>14000</v>
      </c>
    </row>
    <row r="184" spans="2:8" x14ac:dyDescent="0.3">
      <c r="B184" t="s">
        <v>193</v>
      </c>
      <c r="C184" t="s">
        <v>853</v>
      </c>
      <c r="D184" t="s">
        <v>14</v>
      </c>
      <c r="E184">
        <v>1</v>
      </c>
      <c r="F184" t="str">
        <f>+CHOOSE(Tbl_2021[[#This Row],[Type of Service]],"PEST","Disinfe","Rodent","Bird","Termite")</f>
        <v>PEST</v>
      </c>
      <c r="G184">
        <v>7</v>
      </c>
      <c r="H184" s="4">
        <f>+CHOOSE(Tbl_2021[[#This Row],[Type of Service]],2020,3500,3200,4100,5300)*Tbl_2021[[#This Row],[No of Visits]]</f>
        <v>14140</v>
      </c>
    </row>
    <row r="185" spans="2:8" x14ac:dyDescent="0.3">
      <c r="B185" t="s">
        <v>194</v>
      </c>
      <c r="C185" t="s">
        <v>854</v>
      </c>
      <c r="D185" t="s">
        <v>16</v>
      </c>
      <c r="E185">
        <v>2</v>
      </c>
      <c r="F185" t="str">
        <f>+CHOOSE(Tbl_2021[[#This Row],[Type of Service]],"PEST","Disinfe","Rodent","Bird","Termite")</f>
        <v>Disinfe</v>
      </c>
      <c r="G185">
        <v>28</v>
      </c>
      <c r="H185" s="4">
        <f>+CHOOSE(Tbl_2021[[#This Row],[Type of Service]],2020,3500,3200,4100,5300)*Tbl_2021[[#This Row],[No of Visits]]</f>
        <v>98000</v>
      </c>
    </row>
    <row r="186" spans="2:8" x14ac:dyDescent="0.3">
      <c r="B186" t="s">
        <v>195</v>
      </c>
      <c r="C186" t="s">
        <v>855</v>
      </c>
      <c r="D186" t="s">
        <v>4</v>
      </c>
      <c r="E186">
        <v>2</v>
      </c>
      <c r="F186" t="str">
        <f>+CHOOSE(Tbl_2021[[#This Row],[Type of Service]],"PEST","Disinfe","Rodent","Bird","Termite")</f>
        <v>Disinfe</v>
      </c>
      <c r="G186">
        <v>32</v>
      </c>
      <c r="H186" s="4">
        <f>+CHOOSE(Tbl_2021[[#This Row],[Type of Service]],2020,3500,3200,4100,5300)*Tbl_2021[[#This Row],[No of Visits]]</f>
        <v>112000</v>
      </c>
    </row>
    <row r="187" spans="2:8" x14ac:dyDescent="0.3">
      <c r="B187" t="s">
        <v>196</v>
      </c>
      <c r="C187" t="s">
        <v>856</v>
      </c>
      <c r="D187" t="s">
        <v>6</v>
      </c>
      <c r="E187">
        <v>2</v>
      </c>
      <c r="F187" t="str">
        <f>+CHOOSE(Tbl_2021[[#This Row],[Type of Service]],"PEST","Disinfe","Rodent","Bird","Termite")</f>
        <v>Disinfe</v>
      </c>
      <c r="G187">
        <v>16</v>
      </c>
      <c r="H187" s="4">
        <f>+CHOOSE(Tbl_2021[[#This Row],[Type of Service]],2020,3500,3200,4100,5300)*Tbl_2021[[#This Row],[No of Visits]]</f>
        <v>56000</v>
      </c>
    </row>
    <row r="188" spans="2:8" x14ac:dyDescent="0.3">
      <c r="B188" t="s">
        <v>197</v>
      </c>
      <c r="C188" t="s">
        <v>857</v>
      </c>
      <c r="D188" t="s">
        <v>8</v>
      </c>
      <c r="E188">
        <v>4</v>
      </c>
      <c r="F188" t="str">
        <f>+CHOOSE(Tbl_2021[[#This Row],[Type of Service]],"PEST","Disinfe","Rodent","Bird","Termite")</f>
        <v>Bird</v>
      </c>
      <c r="G188">
        <v>34</v>
      </c>
      <c r="H188" s="4">
        <f>+CHOOSE(Tbl_2021[[#This Row],[Type of Service]],2020,3500,3200,4100,5300)*Tbl_2021[[#This Row],[No of Visits]]</f>
        <v>139400</v>
      </c>
    </row>
    <row r="189" spans="2:8" x14ac:dyDescent="0.3">
      <c r="B189" t="s">
        <v>198</v>
      </c>
      <c r="C189" t="s">
        <v>858</v>
      </c>
      <c r="D189" t="s">
        <v>10</v>
      </c>
      <c r="E189">
        <v>2</v>
      </c>
      <c r="F189" t="str">
        <f>+CHOOSE(Tbl_2021[[#This Row],[Type of Service]],"PEST","Disinfe","Rodent","Bird","Termite")</f>
        <v>Disinfe</v>
      </c>
      <c r="G189">
        <v>14</v>
      </c>
      <c r="H189" s="4">
        <f>+CHOOSE(Tbl_2021[[#This Row],[Type of Service]],2020,3500,3200,4100,5300)*Tbl_2021[[#This Row],[No of Visits]]</f>
        <v>49000</v>
      </c>
    </row>
    <row r="190" spans="2:8" x14ac:dyDescent="0.3">
      <c r="B190" t="s">
        <v>199</v>
      </c>
      <c r="C190" t="s">
        <v>859</v>
      </c>
      <c r="D190" t="s">
        <v>12</v>
      </c>
      <c r="E190">
        <v>2</v>
      </c>
      <c r="F190" t="str">
        <f>+CHOOSE(Tbl_2021[[#This Row],[Type of Service]],"PEST","Disinfe","Rodent","Bird","Termite")</f>
        <v>Disinfe</v>
      </c>
      <c r="G190">
        <v>11</v>
      </c>
      <c r="H190" s="4">
        <f>+CHOOSE(Tbl_2021[[#This Row],[Type of Service]],2020,3500,3200,4100,5300)*Tbl_2021[[#This Row],[No of Visits]]</f>
        <v>38500</v>
      </c>
    </row>
    <row r="191" spans="2:8" x14ac:dyDescent="0.3">
      <c r="B191" t="s">
        <v>200</v>
      </c>
      <c r="C191" t="s">
        <v>860</v>
      </c>
      <c r="D191" t="s">
        <v>14</v>
      </c>
      <c r="E191">
        <v>1</v>
      </c>
      <c r="F191" t="str">
        <f>+CHOOSE(Tbl_2021[[#This Row],[Type of Service]],"PEST","Disinfe","Rodent","Bird","Termite")</f>
        <v>PEST</v>
      </c>
      <c r="G191">
        <v>11</v>
      </c>
      <c r="H191" s="4">
        <f>+CHOOSE(Tbl_2021[[#This Row],[Type of Service]],2020,3500,3200,4100,5300)*Tbl_2021[[#This Row],[No of Visits]]</f>
        <v>22220</v>
      </c>
    </row>
    <row r="192" spans="2:8" x14ac:dyDescent="0.3">
      <c r="B192" t="s">
        <v>201</v>
      </c>
      <c r="C192" t="s">
        <v>861</v>
      </c>
      <c r="D192" t="s">
        <v>16</v>
      </c>
      <c r="E192">
        <v>2</v>
      </c>
      <c r="F192" t="str">
        <f>+CHOOSE(Tbl_2021[[#This Row],[Type of Service]],"PEST","Disinfe","Rodent","Bird","Termite")</f>
        <v>Disinfe</v>
      </c>
      <c r="G192">
        <v>14</v>
      </c>
      <c r="H192" s="4">
        <f>+CHOOSE(Tbl_2021[[#This Row],[Type of Service]],2020,3500,3200,4100,5300)*Tbl_2021[[#This Row],[No of Visits]]</f>
        <v>49000</v>
      </c>
    </row>
    <row r="193" spans="2:8" x14ac:dyDescent="0.3">
      <c r="B193" t="s">
        <v>202</v>
      </c>
      <c r="C193" t="s">
        <v>862</v>
      </c>
      <c r="D193" t="s">
        <v>4</v>
      </c>
      <c r="E193">
        <v>4</v>
      </c>
      <c r="F193" t="str">
        <f>+CHOOSE(Tbl_2021[[#This Row],[Type of Service]],"PEST","Disinfe","Rodent","Bird","Termite")</f>
        <v>Bird</v>
      </c>
      <c r="G193">
        <v>27</v>
      </c>
      <c r="H193" s="4">
        <f>+CHOOSE(Tbl_2021[[#This Row],[Type of Service]],2020,3500,3200,4100,5300)*Tbl_2021[[#This Row],[No of Visits]]</f>
        <v>110700</v>
      </c>
    </row>
    <row r="194" spans="2:8" x14ac:dyDescent="0.3">
      <c r="B194" t="s">
        <v>203</v>
      </c>
      <c r="C194" t="s">
        <v>863</v>
      </c>
      <c r="D194" t="s">
        <v>6</v>
      </c>
      <c r="E194">
        <v>1</v>
      </c>
      <c r="F194" t="str">
        <f>+CHOOSE(Tbl_2021[[#This Row],[Type of Service]],"PEST","Disinfe","Rodent","Bird","Termite")</f>
        <v>PEST</v>
      </c>
      <c r="G194">
        <v>17</v>
      </c>
      <c r="H194" s="4">
        <f>+CHOOSE(Tbl_2021[[#This Row],[Type of Service]],2020,3500,3200,4100,5300)*Tbl_2021[[#This Row],[No of Visits]]</f>
        <v>34340</v>
      </c>
    </row>
    <row r="195" spans="2:8" x14ac:dyDescent="0.3">
      <c r="B195" t="s">
        <v>204</v>
      </c>
      <c r="C195" t="s">
        <v>864</v>
      </c>
      <c r="D195" t="s">
        <v>8</v>
      </c>
      <c r="E195">
        <v>2</v>
      </c>
      <c r="F195" t="str">
        <f>+CHOOSE(Tbl_2021[[#This Row],[Type of Service]],"PEST","Disinfe","Rodent","Bird","Termite")</f>
        <v>Disinfe</v>
      </c>
      <c r="G195">
        <v>12</v>
      </c>
      <c r="H195" s="4">
        <f>+CHOOSE(Tbl_2021[[#This Row],[Type of Service]],2020,3500,3200,4100,5300)*Tbl_2021[[#This Row],[No of Visits]]</f>
        <v>42000</v>
      </c>
    </row>
    <row r="196" spans="2:8" x14ac:dyDescent="0.3">
      <c r="B196" t="s">
        <v>205</v>
      </c>
      <c r="C196" t="s">
        <v>865</v>
      </c>
      <c r="D196" t="s">
        <v>10</v>
      </c>
      <c r="E196">
        <v>1</v>
      </c>
      <c r="F196" t="str">
        <f>+CHOOSE(Tbl_2021[[#This Row],[Type of Service]],"PEST","Disinfe","Rodent","Bird","Termite")</f>
        <v>PEST</v>
      </c>
      <c r="G196">
        <v>5</v>
      </c>
      <c r="H196" s="4">
        <f>+CHOOSE(Tbl_2021[[#This Row],[Type of Service]],2020,3500,3200,4100,5300)*Tbl_2021[[#This Row],[No of Visits]]</f>
        <v>10100</v>
      </c>
    </row>
    <row r="197" spans="2:8" x14ac:dyDescent="0.3">
      <c r="B197" t="s">
        <v>206</v>
      </c>
      <c r="C197" t="s">
        <v>207</v>
      </c>
      <c r="D197" t="s">
        <v>12</v>
      </c>
      <c r="E197">
        <v>2</v>
      </c>
      <c r="F197" t="str">
        <f>+CHOOSE(Tbl_2021[[#This Row],[Type of Service]],"PEST","Disinfe","Rodent","Bird","Termite")</f>
        <v>Disinfe</v>
      </c>
      <c r="G197">
        <v>11</v>
      </c>
      <c r="H197" s="4">
        <f>+CHOOSE(Tbl_2021[[#This Row],[Type of Service]],2020,3500,3200,4100,5300)*Tbl_2021[[#This Row],[No of Visits]]</f>
        <v>38500</v>
      </c>
    </row>
    <row r="198" spans="2:8" x14ac:dyDescent="0.3">
      <c r="B198" t="s">
        <v>208</v>
      </c>
      <c r="C198" t="s">
        <v>866</v>
      </c>
      <c r="D198" t="s">
        <v>14</v>
      </c>
      <c r="E198">
        <v>5</v>
      </c>
      <c r="F198" t="str">
        <f>+CHOOSE(Tbl_2021[[#This Row],[Type of Service]],"PEST","Disinfe","Rodent","Bird","Termite")</f>
        <v>Termite</v>
      </c>
      <c r="G198">
        <v>23</v>
      </c>
      <c r="H198" s="4">
        <f>+CHOOSE(Tbl_2021[[#This Row],[Type of Service]],2020,3500,3200,4100,5300)*Tbl_2021[[#This Row],[No of Visits]]</f>
        <v>121900</v>
      </c>
    </row>
    <row r="199" spans="2:8" x14ac:dyDescent="0.3">
      <c r="B199" t="s">
        <v>209</v>
      </c>
      <c r="C199" t="s">
        <v>867</v>
      </c>
      <c r="D199" t="s">
        <v>16</v>
      </c>
      <c r="E199">
        <v>4</v>
      </c>
      <c r="F199" t="str">
        <f>+CHOOSE(Tbl_2021[[#This Row],[Type of Service]],"PEST","Disinfe","Rodent","Bird","Termite")</f>
        <v>Bird</v>
      </c>
      <c r="G199">
        <v>28</v>
      </c>
      <c r="H199" s="4">
        <f>+CHOOSE(Tbl_2021[[#This Row],[Type of Service]],2020,3500,3200,4100,5300)*Tbl_2021[[#This Row],[No of Visits]]</f>
        <v>114800</v>
      </c>
    </row>
    <row r="200" spans="2:8" x14ac:dyDescent="0.3">
      <c r="B200" t="s">
        <v>210</v>
      </c>
      <c r="C200" t="s">
        <v>868</v>
      </c>
      <c r="D200" t="s">
        <v>4</v>
      </c>
      <c r="E200">
        <v>1</v>
      </c>
      <c r="F200" t="str">
        <f>+CHOOSE(Tbl_2021[[#This Row],[Type of Service]],"PEST","Disinfe","Rodent","Bird","Termite")</f>
        <v>PEST</v>
      </c>
      <c r="G200">
        <v>1</v>
      </c>
      <c r="H200" s="4">
        <f>+CHOOSE(Tbl_2021[[#This Row],[Type of Service]],2020,3500,3200,4100,5300)*Tbl_2021[[#This Row],[No of Visits]]</f>
        <v>2020</v>
      </c>
    </row>
    <row r="201" spans="2:8" x14ac:dyDescent="0.3">
      <c r="B201" t="s">
        <v>211</v>
      </c>
      <c r="C201" t="s">
        <v>727</v>
      </c>
      <c r="D201" t="s">
        <v>6</v>
      </c>
      <c r="E201">
        <v>1</v>
      </c>
      <c r="F201" t="str">
        <f>+CHOOSE(Tbl_2021[[#This Row],[Type of Service]],"PEST","Disinfe","Rodent","Bird","Termite")</f>
        <v>PEST</v>
      </c>
      <c r="G201">
        <v>27</v>
      </c>
      <c r="H201" s="4">
        <f>+CHOOSE(Tbl_2021[[#This Row],[Type of Service]],2020,3500,3200,4100,5300)*Tbl_2021[[#This Row],[No of Visits]]</f>
        <v>54540</v>
      </c>
    </row>
    <row r="202" spans="2:8" x14ac:dyDescent="0.3">
      <c r="B202" t="s">
        <v>212</v>
      </c>
      <c r="C202" t="s">
        <v>869</v>
      </c>
      <c r="D202" t="s">
        <v>8</v>
      </c>
      <c r="E202">
        <v>2</v>
      </c>
      <c r="F202" t="str">
        <f>+CHOOSE(Tbl_2021[[#This Row],[Type of Service]],"PEST","Disinfe","Rodent","Bird","Termite")</f>
        <v>Disinfe</v>
      </c>
      <c r="G202">
        <v>1</v>
      </c>
      <c r="H202" s="4">
        <f>+CHOOSE(Tbl_2021[[#This Row],[Type of Service]],2020,3500,3200,4100,5300)*Tbl_2021[[#This Row],[No of Visits]]</f>
        <v>3500</v>
      </c>
    </row>
    <row r="203" spans="2:8" x14ac:dyDescent="0.3">
      <c r="B203" t="s">
        <v>213</v>
      </c>
      <c r="C203" t="s">
        <v>870</v>
      </c>
      <c r="D203" t="s">
        <v>10</v>
      </c>
      <c r="E203">
        <v>2</v>
      </c>
      <c r="F203" t="str">
        <f>+CHOOSE(Tbl_2021[[#This Row],[Type of Service]],"PEST","Disinfe","Rodent","Bird","Termite")</f>
        <v>Disinfe</v>
      </c>
      <c r="G203">
        <v>4</v>
      </c>
      <c r="H203" s="4">
        <f>+CHOOSE(Tbl_2021[[#This Row],[Type of Service]],2020,3500,3200,4100,5300)*Tbl_2021[[#This Row],[No of Visits]]</f>
        <v>14000</v>
      </c>
    </row>
    <row r="204" spans="2:8" x14ac:dyDescent="0.3">
      <c r="B204" t="s">
        <v>214</v>
      </c>
      <c r="C204" t="s">
        <v>827</v>
      </c>
      <c r="D204" t="s">
        <v>12</v>
      </c>
      <c r="E204">
        <v>2</v>
      </c>
      <c r="F204" t="str">
        <f>+CHOOSE(Tbl_2021[[#This Row],[Type of Service]],"PEST","Disinfe","Rodent","Bird","Termite")</f>
        <v>Disinfe</v>
      </c>
      <c r="G204">
        <v>11</v>
      </c>
      <c r="H204" s="4">
        <f>+CHOOSE(Tbl_2021[[#This Row],[Type of Service]],2020,3500,3200,4100,5300)*Tbl_2021[[#This Row],[No of Visits]]</f>
        <v>38500</v>
      </c>
    </row>
    <row r="205" spans="2:8" x14ac:dyDescent="0.3">
      <c r="B205" t="s">
        <v>215</v>
      </c>
      <c r="C205" t="s">
        <v>871</v>
      </c>
      <c r="D205" t="s">
        <v>14</v>
      </c>
      <c r="E205">
        <v>1</v>
      </c>
      <c r="F205" t="str">
        <f>+CHOOSE(Tbl_2021[[#This Row],[Type of Service]],"PEST","Disinfe","Rodent","Bird","Termite")</f>
        <v>PEST</v>
      </c>
      <c r="G205">
        <v>18</v>
      </c>
      <c r="H205" s="4">
        <f>+CHOOSE(Tbl_2021[[#This Row],[Type of Service]],2020,3500,3200,4100,5300)*Tbl_2021[[#This Row],[No of Visits]]</f>
        <v>36360</v>
      </c>
    </row>
    <row r="206" spans="2:8" x14ac:dyDescent="0.3">
      <c r="B206" t="s">
        <v>216</v>
      </c>
      <c r="C206" t="s">
        <v>872</v>
      </c>
      <c r="D206" t="s">
        <v>16</v>
      </c>
      <c r="E206">
        <v>4</v>
      </c>
      <c r="F206" t="str">
        <f>+CHOOSE(Tbl_2021[[#This Row],[Type of Service]],"PEST","Disinfe","Rodent","Bird","Termite")</f>
        <v>Bird</v>
      </c>
      <c r="G206">
        <v>2</v>
      </c>
      <c r="H206" s="4">
        <f>+CHOOSE(Tbl_2021[[#This Row],[Type of Service]],2020,3500,3200,4100,5300)*Tbl_2021[[#This Row],[No of Visits]]</f>
        <v>8200</v>
      </c>
    </row>
    <row r="207" spans="2:8" x14ac:dyDescent="0.3">
      <c r="B207" t="s">
        <v>217</v>
      </c>
      <c r="C207" t="s">
        <v>873</v>
      </c>
      <c r="D207" t="s">
        <v>4</v>
      </c>
      <c r="E207">
        <v>2</v>
      </c>
      <c r="F207" t="str">
        <f>+CHOOSE(Tbl_2021[[#This Row],[Type of Service]],"PEST","Disinfe","Rodent","Bird","Termite")</f>
        <v>Disinfe</v>
      </c>
      <c r="G207">
        <v>30</v>
      </c>
      <c r="H207" s="4">
        <f>+CHOOSE(Tbl_2021[[#This Row],[Type of Service]],2020,3500,3200,4100,5300)*Tbl_2021[[#This Row],[No of Visits]]</f>
        <v>105000</v>
      </c>
    </row>
    <row r="208" spans="2:8" x14ac:dyDescent="0.3">
      <c r="B208" t="s">
        <v>218</v>
      </c>
      <c r="C208" t="s">
        <v>874</v>
      </c>
      <c r="D208" t="s">
        <v>6</v>
      </c>
      <c r="E208">
        <v>2</v>
      </c>
      <c r="F208" t="str">
        <f>+CHOOSE(Tbl_2021[[#This Row],[Type of Service]],"PEST","Disinfe","Rodent","Bird","Termite")</f>
        <v>Disinfe</v>
      </c>
      <c r="G208">
        <v>3</v>
      </c>
      <c r="H208" s="4">
        <f>+CHOOSE(Tbl_2021[[#This Row],[Type of Service]],2020,3500,3200,4100,5300)*Tbl_2021[[#This Row],[No of Visits]]</f>
        <v>10500</v>
      </c>
    </row>
    <row r="209" spans="2:8" x14ac:dyDescent="0.3">
      <c r="B209" t="s">
        <v>219</v>
      </c>
      <c r="C209" t="s">
        <v>875</v>
      </c>
      <c r="D209" t="s">
        <v>8</v>
      </c>
      <c r="E209">
        <v>1</v>
      </c>
      <c r="F209" t="str">
        <f>+CHOOSE(Tbl_2021[[#This Row],[Type of Service]],"PEST","Disinfe","Rodent","Bird","Termite")</f>
        <v>PEST</v>
      </c>
      <c r="G209">
        <v>30</v>
      </c>
      <c r="H209" s="4">
        <f>+CHOOSE(Tbl_2021[[#This Row],[Type of Service]],2020,3500,3200,4100,5300)*Tbl_2021[[#This Row],[No of Visits]]</f>
        <v>60600</v>
      </c>
    </row>
    <row r="210" spans="2:8" x14ac:dyDescent="0.3">
      <c r="B210" t="s">
        <v>220</v>
      </c>
      <c r="C210" t="s">
        <v>876</v>
      </c>
      <c r="D210" t="s">
        <v>10</v>
      </c>
      <c r="E210">
        <v>1</v>
      </c>
      <c r="F210" t="str">
        <f>+CHOOSE(Tbl_2021[[#This Row],[Type of Service]],"PEST","Disinfe","Rodent","Bird","Termite")</f>
        <v>PEST</v>
      </c>
      <c r="G210">
        <v>9</v>
      </c>
      <c r="H210" s="4">
        <f>+CHOOSE(Tbl_2021[[#This Row],[Type of Service]],2020,3500,3200,4100,5300)*Tbl_2021[[#This Row],[No of Visits]]</f>
        <v>18180</v>
      </c>
    </row>
    <row r="211" spans="2:8" x14ac:dyDescent="0.3">
      <c r="B211" t="s">
        <v>221</v>
      </c>
      <c r="C211" t="s">
        <v>877</v>
      </c>
      <c r="D211" t="s">
        <v>12</v>
      </c>
      <c r="E211">
        <v>1</v>
      </c>
      <c r="F211" t="str">
        <f>+CHOOSE(Tbl_2021[[#This Row],[Type of Service]],"PEST","Disinfe","Rodent","Bird","Termite")</f>
        <v>PEST</v>
      </c>
      <c r="G211">
        <v>12</v>
      </c>
      <c r="H211" s="4">
        <f>+CHOOSE(Tbl_2021[[#This Row],[Type of Service]],2020,3500,3200,4100,5300)*Tbl_2021[[#This Row],[No of Visits]]</f>
        <v>24240</v>
      </c>
    </row>
    <row r="212" spans="2:8" x14ac:dyDescent="0.3">
      <c r="B212" t="s">
        <v>222</v>
      </c>
      <c r="C212" t="s">
        <v>752</v>
      </c>
      <c r="D212" t="s">
        <v>14</v>
      </c>
      <c r="E212">
        <v>1</v>
      </c>
      <c r="F212" t="str">
        <f>+CHOOSE(Tbl_2021[[#This Row],[Type of Service]],"PEST","Disinfe","Rodent","Bird","Termite")</f>
        <v>PEST</v>
      </c>
      <c r="G212">
        <v>1</v>
      </c>
      <c r="H212" s="4">
        <f>+CHOOSE(Tbl_2021[[#This Row],[Type of Service]],2020,3500,3200,4100,5300)*Tbl_2021[[#This Row],[No of Visits]]</f>
        <v>2020</v>
      </c>
    </row>
    <row r="213" spans="2:8" x14ac:dyDescent="0.3">
      <c r="B213" t="s">
        <v>223</v>
      </c>
      <c r="C213" t="s">
        <v>878</v>
      </c>
      <c r="D213" t="s">
        <v>16</v>
      </c>
      <c r="E213">
        <v>5</v>
      </c>
      <c r="F213" t="str">
        <f>+CHOOSE(Tbl_2021[[#This Row],[Type of Service]],"PEST","Disinfe","Rodent","Bird","Termite")</f>
        <v>Termite</v>
      </c>
      <c r="G213">
        <v>17</v>
      </c>
      <c r="H213" s="4">
        <f>+CHOOSE(Tbl_2021[[#This Row],[Type of Service]],2020,3500,3200,4100,5300)*Tbl_2021[[#This Row],[No of Visits]]</f>
        <v>90100</v>
      </c>
    </row>
    <row r="214" spans="2:8" x14ac:dyDescent="0.3">
      <c r="B214" t="s">
        <v>224</v>
      </c>
      <c r="C214" t="s">
        <v>879</v>
      </c>
      <c r="D214" t="s">
        <v>4</v>
      </c>
      <c r="E214">
        <v>5</v>
      </c>
      <c r="F214" t="str">
        <f>+CHOOSE(Tbl_2021[[#This Row],[Type of Service]],"PEST","Disinfe","Rodent","Bird","Termite")</f>
        <v>Termite</v>
      </c>
      <c r="G214">
        <v>1</v>
      </c>
      <c r="H214" s="4">
        <f>+CHOOSE(Tbl_2021[[#This Row],[Type of Service]],2020,3500,3200,4100,5300)*Tbl_2021[[#This Row],[No of Visits]]</f>
        <v>5300</v>
      </c>
    </row>
    <row r="215" spans="2:8" x14ac:dyDescent="0.3">
      <c r="B215" t="s">
        <v>225</v>
      </c>
      <c r="C215" t="s">
        <v>880</v>
      </c>
      <c r="D215" t="s">
        <v>6</v>
      </c>
      <c r="E215">
        <v>4</v>
      </c>
      <c r="F215" t="str">
        <f>+CHOOSE(Tbl_2021[[#This Row],[Type of Service]],"PEST","Disinfe","Rodent","Bird","Termite")</f>
        <v>Bird</v>
      </c>
      <c r="G215">
        <v>10</v>
      </c>
      <c r="H215" s="4">
        <f>+CHOOSE(Tbl_2021[[#This Row],[Type of Service]],2020,3500,3200,4100,5300)*Tbl_2021[[#This Row],[No of Visits]]</f>
        <v>41000</v>
      </c>
    </row>
    <row r="216" spans="2:8" x14ac:dyDescent="0.3">
      <c r="B216" t="s">
        <v>226</v>
      </c>
      <c r="C216" t="s">
        <v>881</v>
      </c>
      <c r="D216" t="s">
        <v>8</v>
      </c>
      <c r="E216">
        <v>4</v>
      </c>
      <c r="F216" t="str">
        <f>+CHOOSE(Tbl_2021[[#This Row],[Type of Service]],"PEST","Disinfe","Rodent","Bird","Termite")</f>
        <v>Bird</v>
      </c>
      <c r="G216">
        <v>30</v>
      </c>
      <c r="H216" s="4">
        <f>+CHOOSE(Tbl_2021[[#This Row],[Type of Service]],2020,3500,3200,4100,5300)*Tbl_2021[[#This Row],[No of Visits]]</f>
        <v>123000</v>
      </c>
    </row>
    <row r="217" spans="2:8" x14ac:dyDescent="0.3">
      <c r="B217" t="s">
        <v>227</v>
      </c>
      <c r="C217" t="s">
        <v>882</v>
      </c>
      <c r="D217" t="s">
        <v>10</v>
      </c>
      <c r="E217">
        <v>4</v>
      </c>
      <c r="F217" t="str">
        <f>+CHOOSE(Tbl_2021[[#This Row],[Type of Service]],"PEST","Disinfe","Rodent","Bird","Termite")</f>
        <v>Bird</v>
      </c>
      <c r="G217">
        <v>30</v>
      </c>
      <c r="H217" s="4">
        <f>+CHOOSE(Tbl_2021[[#This Row],[Type of Service]],2020,3500,3200,4100,5300)*Tbl_2021[[#This Row],[No of Visits]]</f>
        <v>123000</v>
      </c>
    </row>
    <row r="218" spans="2:8" x14ac:dyDescent="0.3">
      <c r="B218" t="s">
        <v>228</v>
      </c>
      <c r="C218" t="s">
        <v>883</v>
      </c>
      <c r="D218" t="s">
        <v>12</v>
      </c>
      <c r="E218">
        <v>1</v>
      </c>
      <c r="F218" t="str">
        <f>+CHOOSE(Tbl_2021[[#This Row],[Type of Service]],"PEST","Disinfe","Rodent","Bird","Termite")</f>
        <v>PEST</v>
      </c>
      <c r="G218">
        <v>9</v>
      </c>
      <c r="H218" s="4">
        <f>+CHOOSE(Tbl_2021[[#This Row],[Type of Service]],2020,3500,3200,4100,5300)*Tbl_2021[[#This Row],[No of Visits]]</f>
        <v>18180</v>
      </c>
    </row>
    <row r="219" spans="2:8" x14ac:dyDescent="0.3">
      <c r="B219" t="s">
        <v>229</v>
      </c>
      <c r="C219" t="s">
        <v>884</v>
      </c>
      <c r="D219" t="s">
        <v>14</v>
      </c>
      <c r="E219">
        <v>5</v>
      </c>
      <c r="F219" t="str">
        <f>+CHOOSE(Tbl_2021[[#This Row],[Type of Service]],"PEST","Disinfe","Rodent","Bird","Termite")</f>
        <v>Termite</v>
      </c>
      <c r="G219">
        <v>19</v>
      </c>
      <c r="H219" s="4">
        <f>+CHOOSE(Tbl_2021[[#This Row],[Type of Service]],2020,3500,3200,4100,5300)*Tbl_2021[[#This Row],[No of Visits]]</f>
        <v>100700</v>
      </c>
    </row>
    <row r="220" spans="2:8" x14ac:dyDescent="0.3">
      <c r="B220" t="s">
        <v>230</v>
      </c>
      <c r="C220" t="s">
        <v>885</v>
      </c>
      <c r="D220" t="s">
        <v>16</v>
      </c>
      <c r="E220">
        <v>1</v>
      </c>
      <c r="F220" t="str">
        <f>+CHOOSE(Tbl_2021[[#This Row],[Type of Service]],"PEST","Disinfe","Rodent","Bird","Termite")</f>
        <v>PEST</v>
      </c>
      <c r="G220">
        <v>32</v>
      </c>
      <c r="H220" s="4">
        <f>+CHOOSE(Tbl_2021[[#This Row],[Type of Service]],2020,3500,3200,4100,5300)*Tbl_2021[[#This Row],[No of Visits]]</f>
        <v>64640</v>
      </c>
    </row>
    <row r="221" spans="2:8" x14ac:dyDescent="0.3">
      <c r="B221" t="s">
        <v>231</v>
      </c>
      <c r="C221" t="s">
        <v>886</v>
      </c>
      <c r="D221" t="s">
        <v>4</v>
      </c>
      <c r="E221">
        <v>5</v>
      </c>
      <c r="F221" t="str">
        <f>+CHOOSE(Tbl_2021[[#This Row],[Type of Service]],"PEST","Disinfe","Rodent","Bird","Termite")</f>
        <v>Termite</v>
      </c>
      <c r="G221">
        <v>21</v>
      </c>
      <c r="H221" s="4">
        <f>+CHOOSE(Tbl_2021[[#This Row],[Type of Service]],2020,3500,3200,4100,5300)*Tbl_2021[[#This Row],[No of Visits]]</f>
        <v>111300</v>
      </c>
    </row>
    <row r="222" spans="2:8" x14ac:dyDescent="0.3">
      <c r="B222" t="s">
        <v>232</v>
      </c>
      <c r="C222" t="s">
        <v>887</v>
      </c>
      <c r="D222" t="s">
        <v>6</v>
      </c>
      <c r="E222">
        <v>2</v>
      </c>
      <c r="F222" t="str">
        <f>+CHOOSE(Tbl_2021[[#This Row],[Type of Service]],"PEST","Disinfe","Rodent","Bird","Termite")</f>
        <v>Disinfe</v>
      </c>
      <c r="G222">
        <v>19</v>
      </c>
      <c r="H222" s="4">
        <f>+CHOOSE(Tbl_2021[[#This Row],[Type of Service]],2020,3500,3200,4100,5300)*Tbl_2021[[#This Row],[No of Visits]]</f>
        <v>66500</v>
      </c>
    </row>
    <row r="223" spans="2:8" x14ac:dyDescent="0.3">
      <c r="B223" t="s">
        <v>233</v>
      </c>
      <c r="C223" t="s">
        <v>888</v>
      </c>
      <c r="D223" t="s">
        <v>8</v>
      </c>
      <c r="E223">
        <v>2</v>
      </c>
      <c r="F223" t="str">
        <f>+CHOOSE(Tbl_2021[[#This Row],[Type of Service]],"PEST","Disinfe","Rodent","Bird","Termite")</f>
        <v>Disinfe</v>
      </c>
      <c r="G223">
        <v>29</v>
      </c>
      <c r="H223" s="4">
        <f>+CHOOSE(Tbl_2021[[#This Row],[Type of Service]],2020,3500,3200,4100,5300)*Tbl_2021[[#This Row],[No of Visits]]</f>
        <v>101500</v>
      </c>
    </row>
    <row r="224" spans="2:8" x14ac:dyDescent="0.3">
      <c r="B224" t="s">
        <v>234</v>
      </c>
      <c r="C224" t="s">
        <v>889</v>
      </c>
      <c r="D224" t="s">
        <v>10</v>
      </c>
      <c r="E224">
        <v>2</v>
      </c>
      <c r="F224" t="str">
        <f>+CHOOSE(Tbl_2021[[#This Row],[Type of Service]],"PEST","Disinfe","Rodent","Bird","Termite")</f>
        <v>Disinfe</v>
      </c>
      <c r="G224">
        <v>30</v>
      </c>
      <c r="H224" s="4">
        <f>+CHOOSE(Tbl_2021[[#This Row],[Type of Service]],2020,3500,3200,4100,5300)*Tbl_2021[[#This Row],[No of Visits]]</f>
        <v>105000</v>
      </c>
    </row>
    <row r="225" spans="2:8" x14ac:dyDescent="0.3">
      <c r="B225" t="s">
        <v>235</v>
      </c>
      <c r="C225" t="s">
        <v>890</v>
      </c>
      <c r="D225" t="s">
        <v>12</v>
      </c>
      <c r="E225">
        <v>1</v>
      </c>
      <c r="F225" t="str">
        <f>+CHOOSE(Tbl_2021[[#This Row],[Type of Service]],"PEST","Disinfe","Rodent","Bird","Termite")</f>
        <v>PEST</v>
      </c>
      <c r="G225">
        <v>29</v>
      </c>
      <c r="H225" s="4">
        <f>+CHOOSE(Tbl_2021[[#This Row],[Type of Service]],2020,3500,3200,4100,5300)*Tbl_2021[[#This Row],[No of Visits]]</f>
        <v>58580</v>
      </c>
    </row>
    <row r="226" spans="2:8" x14ac:dyDescent="0.3">
      <c r="B226" t="s">
        <v>236</v>
      </c>
      <c r="C226" t="s">
        <v>891</v>
      </c>
      <c r="D226" t="s">
        <v>14</v>
      </c>
      <c r="E226">
        <v>1</v>
      </c>
      <c r="F226" t="str">
        <f>+CHOOSE(Tbl_2021[[#This Row],[Type of Service]],"PEST","Disinfe","Rodent","Bird","Termite")</f>
        <v>PEST</v>
      </c>
      <c r="G226">
        <v>25</v>
      </c>
      <c r="H226" s="4">
        <f>+CHOOSE(Tbl_2021[[#This Row],[Type of Service]],2020,3500,3200,4100,5300)*Tbl_2021[[#This Row],[No of Visits]]</f>
        <v>50500</v>
      </c>
    </row>
    <row r="227" spans="2:8" x14ac:dyDescent="0.3">
      <c r="B227" t="s">
        <v>237</v>
      </c>
      <c r="C227" t="s">
        <v>892</v>
      </c>
      <c r="D227" t="s">
        <v>16</v>
      </c>
      <c r="E227">
        <v>2</v>
      </c>
      <c r="F227" t="str">
        <f>+CHOOSE(Tbl_2021[[#This Row],[Type of Service]],"PEST","Disinfe","Rodent","Bird","Termite")</f>
        <v>Disinfe</v>
      </c>
      <c r="G227">
        <v>30</v>
      </c>
      <c r="H227" s="4">
        <f>+CHOOSE(Tbl_2021[[#This Row],[Type of Service]],2020,3500,3200,4100,5300)*Tbl_2021[[#This Row],[No of Visits]]</f>
        <v>105000</v>
      </c>
    </row>
    <row r="228" spans="2:8" x14ac:dyDescent="0.3">
      <c r="B228" t="s">
        <v>238</v>
      </c>
      <c r="C228" t="s">
        <v>893</v>
      </c>
      <c r="D228" t="s">
        <v>4</v>
      </c>
      <c r="E228">
        <v>5</v>
      </c>
      <c r="F228" t="str">
        <f>+CHOOSE(Tbl_2021[[#This Row],[Type of Service]],"PEST","Disinfe","Rodent","Bird","Termite")</f>
        <v>Termite</v>
      </c>
      <c r="G228">
        <v>16</v>
      </c>
      <c r="H228" s="4">
        <f>+CHOOSE(Tbl_2021[[#This Row],[Type of Service]],2020,3500,3200,4100,5300)*Tbl_2021[[#This Row],[No of Visits]]</f>
        <v>84800</v>
      </c>
    </row>
    <row r="229" spans="2:8" x14ac:dyDescent="0.3">
      <c r="B229" t="s">
        <v>239</v>
      </c>
      <c r="C229" t="s">
        <v>894</v>
      </c>
      <c r="D229" t="s">
        <v>6</v>
      </c>
      <c r="E229">
        <v>5</v>
      </c>
      <c r="F229" t="str">
        <f>+CHOOSE(Tbl_2021[[#This Row],[Type of Service]],"PEST","Disinfe","Rodent","Bird","Termite")</f>
        <v>Termite</v>
      </c>
      <c r="G229">
        <v>15</v>
      </c>
      <c r="H229" s="4">
        <f>+CHOOSE(Tbl_2021[[#This Row],[Type of Service]],2020,3500,3200,4100,5300)*Tbl_2021[[#This Row],[No of Visits]]</f>
        <v>79500</v>
      </c>
    </row>
    <row r="230" spans="2:8" x14ac:dyDescent="0.3">
      <c r="B230" t="s">
        <v>240</v>
      </c>
      <c r="C230" t="s">
        <v>895</v>
      </c>
      <c r="D230" t="s">
        <v>8</v>
      </c>
      <c r="E230">
        <v>2</v>
      </c>
      <c r="F230" t="str">
        <f>+CHOOSE(Tbl_2021[[#This Row],[Type of Service]],"PEST","Disinfe","Rodent","Bird","Termite")</f>
        <v>Disinfe</v>
      </c>
      <c r="G230">
        <v>29</v>
      </c>
      <c r="H230" s="4">
        <f>+CHOOSE(Tbl_2021[[#This Row],[Type of Service]],2020,3500,3200,4100,5300)*Tbl_2021[[#This Row],[No of Visits]]</f>
        <v>101500</v>
      </c>
    </row>
    <row r="231" spans="2:8" x14ac:dyDescent="0.3">
      <c r="B231" t="s">
        <v>241</v>
      </c>
      <c r="C231" t="s">
        <v>896</v>
      </c>
      <c r="D231" t="s">
        <v>10</v>
      </c>
      <c r="E231">
        <v>1</v>
      </c>
      <c r="F231" t="str">
        <f>+CHOOSE(Tbl_2021[[#This Row],[Type of Service]],"PEST","Disinfe","Rodent","Bird","Termite")</f>
        <v>PEST</v>
      </c>
      <c r="G231">
        <v>24</v>
      </c>
      <c r="H231" s="4">
        <f>+CHOOSE(Tbl_2021[[#This Row],[Type of Service]],2020,3500,3200,4100,5300)*Tbl_2021[[#This Row],[No of Visits]]</f>
        <v>48480</v>
      </c>
    </row>
    <row r="232" spans="2:8" x14ac:dyDescent="0.3">
      <c r="B232" t="s">
        <v>242</v>
      </c>
      <c r="C232" t="s">
        <v>897</v>
      </c>
      <c r="D232" t="s">
        <v>12</v>
      </c>
      <c r="E232">
        <v>5</v>
      </c>
      <c r="F232" t="str">
        <f>+CHOOSE(Tbl_2021[[#This Row],[Type of Service]],"PEST","Disinfe","Rodent","Bird","Termite")</f>
        <v>Termite</v>
      </c>
      <c r="G232">
        <v>31</v>
      </c>
      <c r="H232" s="4">
        <f>+CHOOSE(Tbl_2021[[#This Row],[Type of Service]],2020,3500,3200,4100,5300)*Tbl_2021[[#This Row],[No of Visits]]</f>
        <v>164300</v>
      </c>
    </row>
    <row r="233" spans="2:8" x14ac:dyDescent="0.3">
      <c r="B233" t="s">
        <v>243</v>
      </c>
      <c r="C233" t="s">
        <v>898</v>
      </c>
      <c r="D233" t="s">
        <v>14</v>
      </c>
      <c r="E233">
        <v>4</v>
      </c>
      <c r="F233" t="str">
        <f>+CHOOSE(Tbl_2021[[#This Row],[Type of Service]],"PEST","Disinfe","Rodent","Bird","Termite")</f>
        <v>Bird</v>
      </c>
      <c r="G233">
        <v>35</v>
      </c>
      <c r="H233" s="4">
        <f>+CHOOSE(Tbl_2021[[#This Row],[Type of Service]],2020,3500,3200,4100,5300)*Tbl_2021[[#This Row],[No of Visits]]</f>
        <v>143500</v>
      </c>
    </row>
    <row r="234" spans="2:8" x14ac:dyDescent="0.3">
      <c r="B234" t="s">
        <v>244</v>
      </c>
      <c r="C234" t="s">
        <v>819</v>
      </c>
      <c r="D234" t="s">
        <v>16</v>
      </c>
      <c r="E234">
        <v>1</v>
      </c>
      <c r="F234" t="str">
        <f>+CHOOSE(Tbl_2021[[#This Row],[Type of Service]],"PEST","Disinfe","Rodent","Bird","Termite")</f>
        <v>PEST</v>
      </c>
      <c r="G234">
        <v>30</v>
      </c>
      <c r="H234" s="4">
        <f>+CHOOSE(Tbl_2021[[#This Row],[Type of Service]],2020,3500,3200,4100,5300)*Tbl_2021[[#This Row],[No of Visits]]</f>
        <v>60600</v>
      </c>
    </row>
    <row r="235" spans="2:8" x14ac:dyDescent="0.3">
      <c r="B235" t="s">
        <v>245</v>
      </c>
      <c r="C235" t="s">
        <v>899</v>
      </c>
      <c r="D235" t="s">
        <v>4</v>
      </c>
      <c r="E235">
        <v>5</v>
      </c>
      <c r="F235" t="str">
        <f>+CHOOSE(Tbl_2021[[#This Row],[Type of Service]],"PEST","Disinfe","Rodent","Bird","Termite")</f>
        <v>Termite</v>
      </c>
      <c r="G235">
        <v>28</v>
      </c>
      <c r="H235" s="4">
        <f>+CHOOSE(Tbl_2021[[#This Row],[Type of Service]],2020,3500,3200,4100,5300)*Tbl_2021[[#This Row],[No of Visits]]</f>
        <v>148400</v>
      </c>
    </row>
    <row r="236" spans="2:8" x14ac:dyDescent="0.3">
      <c r="B236" t="s">
        <v>246</v>
      </c>
      <c r="C236" t="s">
        <v>900</v>
      </c>
      <c r="D236" t="s">
        <v>6</v>
      </c>
      <c r="E236">
        <v>4</v>
      </c>
      <c r="F236" t="str">
        <f>+CHOOSE(Tbl_2021[[#This Row],[Type of Service]],"PEST","Disinfe","Rodent","Bird","Termite")</f>
        <v>Bird</v>
      </c>
      <c r="G236">
        <v>35</v>
      </c>
      <c r="H236" s="4">
        <f>+CHOOSE(Tbl_2021[[#This Row],[Type of Service]],2020,3500,3200,4100,5300)*Tbl_2021[[#This Row],[No of Visits]]</f>
        <v>143500</v>
      </c>
    </row>
    <row r="237" spans="2:8" x14ac:dyDescent="0.3">
      <c r="B237" t="s">
        <v>247</v>
      </c>
      <c r="C237" t="s">
        <v>901</v>
      </c>
      <c r="D237" t="s">
        <v>8</v>
      </c>
      <c r="E237">
        <v>1</v>
      </c>
      <c r="F237" t="str">
        <f>+CHOOSE(Tbl_2021[[#This Row],[Type of Service]],"PEST","Disinfe","Rodent","Bird","Termite")</f>
        <v>PEST</v>
      </c>
      <c r="G237">
        <v>8</v>
      </c>
      <c r="H237" s="4">
        <f>+CHOOSE(Tbl_2021[[#This Row],[Type of Service]],2020,3500,3200,4100,5300)*Tbl_2021[[#This Row],[No of Visits]]</f>
        <v>16160</v>
      </c>
    </row>
    <row r="238" spans="2:8" x14ac:dyDescent="0.3">
      <c r="B238" t="s">
        <v>248</v>
      </c>
      <c r="C238" t="s">
        <v>902</v>
      </c>
      <c r="D238" t="s">
        <v>10</v>
      </c>
      <c r="E238">
        <v>1</v>
      </c>
      <c r="F238" t="str">
        <f>+CHOOSE(Tbl_2021[[#This Row],[Type of Service]],"PEST","Disinfe","Rodent","Bird","Termite")</f>
        <v>PEST</v>
      </c>
      <c r="G238">
        <v>17</v>
      </c>
      <c r="H238" s="4">
        <f>+CHOOSE(Tbl_2021[[#This Row],[Type of Service]],2020,3500,3200,4100,5300)*Tbl_2021[[#This Row],[No of Visits]]</f>
        <v>34340</v>
      </c>
    </row>
    <row r="239" spans="2:8" x14ac:dyDescent="0.3">
      <c r="B239" t="s">
        <v>249</v>
      </c>
      <c r="C239" t="s">
        <v>903</v>
      </c>
      <c r="D239" t="s">
        <v>12</v>
      </c>
      <c r="E239">
        <v>1</v>
      </c>
      <c r="F239" t="str">
        <f>+CHOOSE(Tbl_2021[[#This Row],[Type of Service]],"PEST","Disinfe","Rodent","Bird","Termite")</f>
        <v>PEST</v>
      </c>
      <c r="G239">
        <v>17</v>
      </c>
      <c r="H239" s="4">
        <f>+CHOOSE(Tbl_2021[[#This Row],[Type of Service]],2020,3500,3200,4100,5300)*Tbl_2021[[#This Row],[No of Visits]]</f>
        <v>34340</v>
      </c>
    </row>
    <row r="240" spans="2:8" x14ac:dyDescent="0.3">
      <c r="B240" t="s">
        <v>250</v>
      </c>
      <c r="C240" t="s">
        <v>904</v>
      </c>
      <c r="D240" t="s">
        <v>14</v>
      </c>
      <c r="E240">
        <v>4</v>
      </c>
      <c r="F240" t="str">
        <f>+CHOOSE(Tbl_2021[[#This Row],[Type of Service]],"PEST","Disinfe","Rodent","Bird","Termite")</f>
        <v>Bird</v>
      </c>
      <c r="G240">
        <v>24</v>
      </c>
      <c r="H240" s="4">
        <f>+CHOOSE(Tbl_2021[[#This Row],[Type of Service]],2020,3500,3200,4100,5300)*Tbl_2021[[#This Row],[No of Visits]]</f>
        <v>98400</v>
      </c>
    </row>
    <row r="241" spans="2:8" x14ac:dyDescent="0.3">
      <c r="B241" t="s">
        <v>251</v>
      </c>
      <c r="C241" t="s">
        <v>739</v>
      </c>
      <c r="D241" t="s">
        <v>16</v>
      </c>
      <c r="E241">
        <v>1</v>
      </c>
      <c r="F241" t="str">
        <f>+CHOOSE(Tbl_2021[[#This Row],[Type of Service]],"PEST","Disinfe","Rodent","Bird","Termite")</f>
        <v>PEST</v>
      </c>
      <c r="G241">
        <v>3</v>
      </c>
      <c r="H241" s="4">
        <f>+CHOOSE(Tbl_2021[[#This Row],[Type of Service]],2020,3500,3200,4100,5300)*Tbl_2021[[#This Row],[No of Visits]]</f>
        <v>6060</v>
      </c>
    </row>
    <row r="242" spans="2:8" x14ac:dyDescent="0.3">
      <c r="B242" t="s">
        <v>252</v>
      </c>
      <c r="C242" t="s">
        <v>905</v>
      </c>
      <c r="D242" t="s">
        <v>4</v>
      </c>
      <c r="E242">
        <v>2</v>
      </c>
      <c r="F242" t="str">
        <f>+CHOOSE(Tbl_2021[[#This Row],[Type of Service]],"PEST","Disinfe","Rodent","Bird","Termite")</f>
        <v>Disinfe</v>
      </c>
      <c r="G242">
        <v>7</v>
      </c>
      <c r="H242" s="4">
        <f>+CHOOSE(Tbl_2021[[#This Row],[Type of Service]],2020,3500,3200,4100,5300)*Tbl_2021[[#This Row],[No of Visits]]</f>
        <v>24500</v>
      </c>
    </row>
    <row r="243" spans="2:8" x14ac:dyDescent="0.3">
      <c r="B243" t="s">
        <v>253</v>
      </c>
      <c r="C243" t="s">
        <v>906</v>
      </c>
      <c r="D243" t="s">
        <v>6</v>
      </c>
      <c r="E243">
        <v>1</v>
      </c>
      <c r="F243" t="str">
        <f>+CHOOSE(Tbl_2021[[#This Row],[Type of Service]],"PEST","Disinfe","Rodent","Bird","Termite")</f>
        <v>PEST</v>
      </c>
      <c r="G243">
        <v>15</v>
      </c>
      <c r="H243" s="4">
        <f>+CHOOSE(Tbl_2021[[#This Row],[Type of Service]],2020,3500,3200,4100,5300)*Tbl_2021[[#This Row],[No of Visits]]</f>
        <v>30300</v>
      </c>
    </row>
    <row r="244" spans="2:8" x14ac:dyDescent="0.3">
      <c r="B244" t="s">
        <v>254</v>
      </c>
      <c r="C244" t="s">
        <v>904</v>
      </c>
      <c r="D244" t="s">
        <v>8</v>
      </c>
      <c r="E244">
        <v>4</v>
      </c>
      <c r="F244" t="str">
        <f>+CHOOSE(Tbl_2021[[#This Row],[Type of Service]],"PEST","Disinfe","Rodent","Bird","Termite")</f>
        <v>Bird</v>
      </c>
      <c r="G244">
        <v>3</v>
      </c>
      <c r="H244" s="4">
        <f>+CHOOSE(Tbl_2021[[#This Row],[Type of Service]],2020,3500,3200,4100,5300)*Tbl_2021[[#This Row],[No of Visits]]</f>
        <v>12300</v>
      </c>
    </row>
    <row r="245" spans="2:8" x14ac:dyDescent="0.3">
      <c r="B245" t="s">
        <v>255</v>
      </c>
      <c r="C245" t="s">
        <v>907</v>
      </c>
      <c r="D245" t="s">
        <v>10</v>
      </c>
      <c r="E245">
        <v>5</v>
      </c>
      <c r="F245" t="str">
        <f>+CHOOSE(Tbl_2021[[#This Row],[Type of Service]],"PEST","Disinfe","Rodent","Bird","Termite")</f>
        <v>Termite</v>
      </c>
      <c r="G245">
        <v>21</v>
      </c>
      <c r="H245" s="4">
        <f>+CHOOSE(Tbl_2021[[#This Row],[Type of Service]],2020,3500,3200,4100,5300)*Tbl_2021[[#This Row],[No of Visits]]</f>
        <v>111300</v>
      </c>
    </row>
    <row r="246" spans="2:8" x14ac:dyDescent="0.3">
      <c r="B246" t="s">
        <v>256</v>
      </c>
      <c r="C246" t="s">
        <v>908</v>
      </c>
      <c r="D246" t="s">
        <v>12</v>
      </c>
      <c r="E246">
        <v>4</v>
      </c>
      <c r="F246" t="str">
        <f>+CHOOSE(Tbl_2021[[#This Row],[Type of Service]],"PEST","Disinfe","Rodent","Bird","Termite")</f>
        <v>Bird</v>
      </c>
      <c r="G246">
        <v>8</v>
      </c>
      <c r="H246" s="4">
        <f>+CHOOSE(Tbl_2021[[#This Row],[Type of Service]],2020,3500,3200,4100,5300)*Tbl_2021[[#This Row],[No of Visits]]</f>
        <v>32800</v>
      </c>
    </row>
    <row r="247" spans="2:8" x14ac:dyDescent="0.3">
      <c r="B247" t="s">
        <v>257</v>
      </c>
      <c r="C247" t="s">
        <v>909</v>
      </c>
      <c r="D247" t="s">
        <v>14</v>
      </c>
      <c r="E247">
        <v>4</v>
      </c>
      <c r="F247" t="str">
        <f>+CHOOSE(Tbl_2021[[#This Row],[Type of Service]],"PEST","Disinfe","Rodent","Bird","Termite")</f>
        <v>Bird</v>
      </c>
      <c r="G247">
        <v>14</v>
      </c>
      <c r="H247" s="4">
        <f>+CHOOSE(Tbl_2021[[#This Row],[Type of Service]],2020,3500,3200,4100,5300)*Tbl_2021[[#This Row],[No of Visits]]</f>
        <v>57400</v>
      </c>
    </row>
    <row r="248" spans="2:8" x14ac:dyDescent="0.3">
      <c r="B248" t="s">
        <v>258</v>
      </c>
      <c r="C248" t="s">
        <v>910</v>
      </c>
      <c r="D248" t="s">
        <v>16</v>
      </c>
      <c r="E248">
        <v>1</v>
      </c>
      <c r="F248" t="str">
        <f>+CHOOSE(Tbl_2021[[#This Row],[Type of Service]],"PEST","Disinfe","Rodent","Bird","Termite")</f>
        <v>PEST</v>
      </c>
      <c r="G248">
        <v>29</v>
      </c>
      <c r="H248" s="4">
        <f>+CHOOSE(Tbl_2021[[#This Row],[Type of Service]],2020,3500,3200,4100,5300)*Tbl_2021[[#This Row],[No of Visits]]</f>
        <v>58580</v>
      </c>
    </row>
    <row r="249" spans="2:8" x14ac:dyDescent="0.3">
      <c r="B249" t="s">
        <v>259</v>
      </c>
      <c r="C249" t="s">
        <v>911</v>
      </c>
      <c r="D249" t="s">
        <v>4</v>
      </c>
      <c r="E249">
        <v>5</v>
      </c>
      <c r="F249" t="str">
        <f>+CHOOSE(Tbl_2021[[#This Row],[Type of Service]],"PEST","Disinfe","Rodent","Bird","Termite")</f>
        <v>Termite</v>
      </c>
      <c r="G249">
        <v>21</v>
      </c>
      <c r="H249" s="4">
        <f>+CHOOSE(Tbl_2021[[#This Row],[Type of Service]],2020,3500,3200,4100,5300)*Tbl_2021[[#This Row],[No of Visits]]</f>
        <v>111300</v>
      </c>
    </row>
    <row r="250" spans="2:8" x14ac:dyDescent="0.3">
      <c r="B250" t="s">
        <v>260</v>
      </c>
      <c r="C250" t="s">
        <v>912</v>
      </c>
      <c r="D250" t="s">
        <v>6</v>
      </c>
      <c r="E250">
        <v>1</v>
      </c>
      <c r="F250" t="str">
        <f>+CHOOSE(Tbl_2021[[#This Row],[Type of Service]],"PEST","Disinfe","Rodent","Bird","Termite")</f>
        <v>PEST</v>
      </c>
      <c r="G250">
        <v>26</v>
      </c>
      <c r="H250" s="4">
        <f>+CHOOSE(Tbl_2021[[#This Row],[Type of Service]],2020,3500,3200,4100,5300)*Tbl_2021[[#This Row],[No of Visits]]</f>
        <v>52520</v>
      </c>
    </row>
    <row r="251" spans="2:8" x14ac:dyDescent="0.3">
      <c r="B251" t="s">
        <v>261</v>
      </c>
      <c r="C251" t="s">
        <v>913</v>
      </c>
      <c r="D251" t="s">
        <v>8</v>
      </c>
      <c r="E251">
        <v>5</v>
      </c>
      <c r="F251" t="str">
        <f>+CHOOSE(Tbl_2021[[#This Row],[Type of Service]],"PEST","Disinfe","Rodent","Bird","Termite")</f>
        <v>Termite</v>
      </c>
      <c r="G251">
        <v>21</v>
      </c>
      <c r="H251" s="4">
        <f>+CHOOSE(Tbl_2021[[#This Row],[Type of Service]],2020,3500,3200,4100,5300)*Tbl_2021[[#This Row],[No of Visits]]</f>
        <v>111300</v>
      </c>
    </row>
    <row r="252" spans="2:8" x14ac:dyDescent="0.3">
      <c r="B252" t="s">
        <v>262</v>
      </c>
      <c r="C252" t="s">
        <v>914</v>
      </c>
      <c r="D252" t="s">
        <v>10</v>
      </c>
      <c r="E252">
        <v>2</v>
      </c>
      <c r="F252" t="str">
        <f>+CHOOSE(Tbl_2021[[#This Row],[Type of Service]],"PEST","Disinfe","Rodent","Bird","Termite")</f>
        <v>Disinfe</v>
      </c>
      <c r="G252">
        <v>18</v>
      </c>
      <c r="H252" s="4">
        <f>+CHOOSE(Tbl_2021[[#This Row],[Type of Service]],2020,3500,3200,4100,5300)*Tbl_2021[[#This Row],[No of Visits]]</f>
        <v>63000</v>
      </c>
    </row>
    <row r="253" spans="2:8" x14ac:dyDescent="0.3">
      <c r="B253" t="s">
        <v>263</v>
      </c>
      <c r="C253" t="s">
        <v>915</v>
      </c>
      <c r="D253" t="s">
        <v>12</v>
      </c>
      <c r="E253">
        <v>4</v>
      </c>
      <c r="F253" t="str">
        <f>+CHOOSE(Tbl_2021[[#This Row],[Type of Service]],"PEST","Disinfe","Rodent","Bird","Termite")</f>
        <v>Bird</v>
      </c>
      <c r="G253">
        <v>12</v>
      </c>
      <c r="H253" s="4">
        <f>+CHOOSE(Tbl_2021[[#This Row],[Type of Service]],2020,3500,3200,4100,5300)*Tbl_2021[[#This Row],[No of Visits]]</f>
        <v>49200</v>
      </c>
    </row>
    <row r="254" spans="2:8" x14ac:dyDescent="0.3">
      <c r="B254" t="s">
        <v>264</v>
      </c>
      <c r="C254" t="s">
        <v>916</v>
      </c>
      <c r="D254" t="s">
        <v>14</v>
      </c>
      <c r="E254">
        <v>4</v>
      </c>
      <c r="F254" t="str">
        <f>+CHOOSE(Tbl_2021[[#This Row],[Type of Service]],"PEST","Disinfe","Rodent","Bird","Termite")</f>
        <v>Bird</v>
      </c>
      <c r="G254">
        <v>3</v>
      </c>
      <c r="H254" s="4">
        <f>+CHOOSE(Tbl_2021[[#This Row],[Type of Service]],2020,3500,3200,4100,5300)*Tbl_2021[[#This Row],[No of Visits]]</f>
        <v>12300</v>
      </c>
    </row>
    <row r="255" spans="2:8" x14ac:dyDescent="0.3">
      <c r="B255" t="s">
        <v>265</v>
      </c>
      <c r="C255" t="s">
        <v>917</v>
      </c>
      <c r="D255" t="s">
        <v>16</v>
      </c>
      <c r="E255">
        <v>1</v>
      </c>
      <c r="F255" t="str">
        <f>+CHOOSE(Tbl_2021[[#This Row],[Type of Service]],"PEST","Disinfe","Rodent","Bird","Termite")</f>
        <v>PEST</v>
      </c>
      <c r="G255">
        <v>26</v>
      </c>
      <c r="H255" s="4">
        <f>+CHOOSE(Tbl_2021[[#This Row],[Type of Service]],2020,3500,3200,4100,5300)*Tbl_2021[[#This Row],[No of Visits]]</f>
        <v>52520</v>
      </c>
    </row>
    <row r="256" spans="2:8" x14ac:dyDescent="0.3">
      <c r="B256" t="s">
        <v>266</v>
      </c>
      <c r="C256" t="s">
        <v>267</v>
      </c>
      <c r="D256" t="s">
        <v>4</v>
      </c>
      <c r="E256">
        <v>1</v>
      </c>
      <c r="F256" t="str">
        <f>+CHOOSE(Tbl_2021[[#This Row],[Type of Service]],"PEST","Disinfe","Rodent","Bird","Termite")</f>
        <v>PEST</v>
      </c>
      <c r="G256">
        <v>21</v>
      </c>
      <c r="H256" s="4">
        <f>+CHOOSE(Tbl_2021[[#This Row],[Type of Service]],2020,3500,3200,4100,5300)*Tbl_2021[[#This Row],[No of Visits]]</f>
        <v>42420</v>
      </c>
    </row>
    <row r="257" spans="2:8" x14ac:dyDescent="0.3">
      <c r="B257" t="s">
        <v>268</v>
      </c>
      <c r="C257" t="s">
        <v>918</v>
      </c>
      <c r="D257" t="s">
        <v>6</v>
      </c>
      <c r="E257">
        <v>5</v>
      </c>
      <c r="F257" t="str">
        <f>+CHOOSE(Tbl_2021[[#This Row],[Type of Service]],"PEST","Disinfe","Rodent","Bird","Termite")</f>
        <v>Termite</v>
      </c>
      <c r="G257">
        <v>31</v>
      </c>
      <c r="H257" s="4">
        <f>+CHOOSE(Tbl_2021[[#This Row],[Type of Service]],2020,3500,3200,4100,5300)*Tbl_2021[[#This Row],[No of Visits]]</f>
        <v>164300</v>
      </c>
    </row>
    <row r="258" spans="2:8" x14ac:dyDescent="0.3">
      <c r="B258" t="s">
        <v>269</v>
      </c>
      <c r="C258" t="s">
        <v>919</v>
      </c>
      <c r="D258" t="s">
        <v>8</v>
      </c>
      <c r="E258">
        <v>1</v>
      </c>
      <c r="F258" t="str">
        <f>+CHOOSE(Tbl_2021[[#This Row],[Type of Service]],"PEST","Disinfe","Rodent","Bird","Termite")</f>
        <v>PEST</v>
      </c>
      <c r="G258">
        <v>28</v>
      </c>
      <c r="H258" s="4">
        <f>+CHOOSE(Tbl_2021[[#This Row],[Type of Service]],2020,3500,3200,4100,5300)*Tbl_2021[[#This Row],[No of Visits]]</f>
        <v>56560</v>
      </c>
    </row>
    <row r="259" spans="2:8" x14ac:dyDescent="0.3">
      <c r="B259" t="s">
        <v>270</v>
      </c>
      <c r="C259" t="s">
        <v>920</v>
      </c>
      <c r="D259" t="s">
        <v>10</v>
      </c>
      <c r="E259">
        <v>4</v>
      </c>
      <c r="F259" t="str">
        <f>+CHOOSE(Tbl_2021[[#This Row],[Type of Service]],"PEST","Disinfe","Rodent","Bird","Termite")</f>
        <v>Bird</v>
      </c>
      <c r="G259">
        <v>26</v>
      </c>
      <c r="H259" s="4">
        <f>+CHOOSE(Tbl_2021[[#This Row],[Type of Service]],2020,3500,3200,4100,5300)*Tbl_2021[[#This Row],[No of Visits]]</f>
        <v>106600</v>
      </c>
    </row>
    <row r="260" spans="2:8" x14ac:dyDescent="0.3">
      <c r="B260" t="s">
        <v>271</v>
      </c>
      <c r="C260" t="s">
        <v>921</v>
      </c>
      <c r="D260" t="s">
        <v>12</v>
      </c>
      <c r="E260">
        <v>4</v>
      </c>
      <c r="F260" t="str">
        <f>+CHOOSE(Tbl_2021[[#This Row],[Type of Service]],"PEST","Disinfe","Rodent","Bird","Termite")</f>
        <v>Bird</v>
      </c>
      <c r="G260">
        <v>1</v>
      </c>
      <c r="H260" s="4">
        <f>+CHOOSE(Tbl_2021[[#This Row],[Type of Service]],2020,3500,3200,4100,5300)*Tbl_2021[[#This Row],[No of Visits]]</f>
        <v>4100</v>
      </c>
    </row>
    <row r="261" spans="2:8" x14ac:dyDescent="0.3">
      <c r="B261" t="s">
        <v>272</v>
      </c>
      <c r="C261" t="s">
        <v>922</v>
      </c>
      <c r="D261" t="s">
        <v>14</v>
      </c>
      <c r="E261">
        <v>4</v>
      </c>
      <c r="F261" t="str">
        <f>+CHOOSE(Tbl_2021[[#This Row],[Type of Service]],"PEST","Disinfe","Rodent","Bird","Termite")</f>
        <v>Bird</v>
      </c>
      <c r="G261">
        <v>24</v>
      </c>
      <c r="H261" s="4">
        <f>+CHOOSE(Tbl_2021[[#This Row],[Type of Service]],2020,3500,3200,4100,5300)*Tbl_2021[[#This Row],[No of Visits]]</f>
        <v>98400</v>
      </c>
    </row>
    <row r="262" spans="2:8" x14ac:dyDescent="0.3">
      <c r="B262" t="s">
        <v>273</v>
      </c>
      <c r="C262" t="s">
        <v>923</v>
      </c>
      <c r="D262" t="s">
        <v>16</v>
      </c>
      <c r="E262">
        <v>5</v>
      </c>
      <c r="F262" t="str">
        <f>+CHOOSE(Tbl_2021[[#This Row],[Type of Service]],"PEST","Disinfe","Rodent","Bird","Termite")</f>
        <v>Termite</v>
      </c>
      <c r="G262">
        <v>2</v>
      </c>
      <c r="H262" s="4">
        <f>+CHOOSE(Tbl_2021[[#This Row],[Type of Service]],2020,3500,3200,4100,5300)*Tbl_2021[[#This Row],[No of Visits]]</f>
        <v>10600</v>
      </c>
    </row>
    <row r="263" spans="2:8" x14ac:dyDescent="0.3">
      <c r="B263" t="s">
        <v>274</v>
      </c>
      <c r="C263" t="s">
        <v>924</v>
      </c>
      <c r="D263" t="s">
        <v>4</v>
      </c>
      <c r="E263">
        <v>2</v>
      </c>
      <c r="F263" t="str">
        <f>+CHOOSE(Tbl_2021[[#This Row],[Type of Service]],"PEST","Disinfe","Rodent","Bird","Termite")</f>
        <v>Disinfe</v>
      </c>
      <c r="G263">
        <v>5</v>
      </c>
      <c r="H263" s="4">
        <f>+CHOOSE(Tbl_2021[[#This Row],[Type of Service]],2020,3500,3200,4100,5300)*Tbl_2021[[#This Row],[No of Visits]]</f>
        <v>17500</v>
      </c>
    </row>
    <row r="264" spans="2:8" x14ac:dyDescent="0.3">
      <c r="B264" t="s">
        <v>275</v>
      </c>
      <c r="C264" t="s">
        <v>925</v>
      </c>
      <c r="D264" t="s">
        <v>6</v>
      </c>
      <c r="E264">
        <v>4</v>
      </c>
      <c r="F264" t="str">
        <f>+CHOOSE(Tbl_2021[[#This Row],[Type of Service]],"PEST","Disinfe","Rodent","Bird","Termite")</f>
        <v>Bird</v>
      </c>
      <c r="G264">
        <v>3</v>
      </c>
      <c r="H264" s="4">
        <f>+CHOOSE(Tbl_2021[[#This Row],[Type of Service]],2020,3500,3200,4100,5300)*Tbl_2021[[#This Row],[No of Visits]]</f>
        <v>12300</v>
      </c>
    </row>
    <row r="265" spans="2:8" x14ac:dyDescent="0.3">
      <c r="B265" t="s">
        <v>276</v>
      </c>
      <c r="C265" t="s">
        <v>926</v>
      </c>
      <c r="D265" t="s">
        <v>8</v>
      </c>
      <c r="E265">
        <v>4</v>
      </c>
      <c r="F265" t="str">
        <f>+CHOOSE(Tbl_2021[[#This Row],[Type of Service]],"PEST","Disinfe","Rodent","Bird","Termite")</f>
        <v>Bird</v>
      </c>
      <c r="G265">
        <v>19</v>
      </c>
      <c r="H265" s="4">
        <f>+CHOOSE(Tbl_2021[[#This Row],[Type of Service]],2020,3500,3200,4100,5300)*Tbl_2021[[#This Row],[No of Visits]]</f>
        <v>77900</v>
      </c>
    </row>
    <row r="266" spans="2:8" x14ac:dyDescent="0.3">
      <c r="B266" t="s">
        <v>277</v>
      </c>
      <c r="C266" t="s">
        <v>927</v>
      </c>
      <c r="D266" t="s">
        <v>10</v>
      </c>
      <c r="E266">
        <v>4</v>
      </c>
      <c r="F266" t="str">
        <f>+CHOOSE(Tbl_2021[[#This Row],[Type of Service]],"PEST","Disinfe","Rodent","Bird","Termite")</f>
        <v>Bird</v>
      </c>
      <c r="G266">
        <v>21</v>
      </c>
      <c r="H266" s="4">
        <f>+CHOOSE(Tbl_2021[[#This Row],[Type of Service]],2020,3500,3200,4100,5300)*Tbl_2021[[#This Row],[No of Visits]]</f>
        <v>86100</v>
      </c>
    </row>
    <row r="267" spans="2:8" x14ac:dyDescent="0.3">
      <c r="B267" t="s">
        <v>278</v>
      </c>
      <c r="C267" t="s">
        <v>928</v>
      </c>
      <c r="D267" t="s">
        <v>12</v>
      </c>
      <c r="E267">
        <v>4</v>
      </c>
      <c r="F267" t="str">
        <f>+CHOOSE(Tbl_2021[[#This Row],[Type of Service]],"PEST","Disinfe","Rodent","Bird","Termite")</f>
        <v>Bird</v>
      </c>
      <c r="G267">
        <v>28</v>
      </c>
      <c r="H267" s="4">
        <f>+CHOOSE(Tbl_2021[[#This Row],[Type of Service]],2020,3500,3200,4100,5300)*Tbl_2021[[#This Row],[No of Visits]]</f>
        <v>114800</v>
      </c>
    </row>
    <row r="268" spans="2:8" x14ac:dyDescent="0.3">
      <c r="B268" t="s">
        <v>279</v>
      </c>
      <c r="C268" t="s">
        <v>929</v>
      </c>
      <c r="D268" t="s">
        <v>14</v>
      </c>
      <c r="E268">
        <v>1</v>
      </c>
      <c r="F268" t="str">
        <f>+CHOOSE(Tbl_2021[[#This Row],[Type of Service]],"PEST","Disinfe","Rodent","Bird","Termite")</f>
        <v>PEST</v>
      </c>
      <c r="G268">
        <v>36</v>
      </c>
      <c r="H268" s="4">
        <f>+CHOOSE(Tbl_2021[[#This Row],[Type of Service]],2020,3500,3200,4100,5300)*Tbl_2021[[#This Row],[No of Visits]]</f>
        <v>72720</v>
      </c>
    </row>
    <row r="269" spans="2:8" x14ac:dyDescent="0.3">
      <c r="B269" t="s">
        <v>280</v>
      </c>
      <c r="C269" t="s">
        <v>930</v>
      </c>
      <c r="D269" t="s">
        <v>16</v>
      </c>
      <c r="E269">
        <v>1</v>
      </c>
      <c r="F269" t="str">
        <f>+CHOOSE(Tbl_2021[[#This Row],[Type of Service]],"PEST","Disinfe","Rodent","Bird","Termite")</f>
        <v>PEST</v>
      </c>
      <c r="G269">
        <v>2</v>
      </c>
      <c r="H269" s="4">
        <f>+CHOOSE(Tbl_2021[[#This Row],[Type of Service]],2020,3500,3200,4100,5300)*Tbl_2021[[#This Row],[No of Visits]]</f>
        <v>4040</v>
      </c>
    </row>
    <row r="270" spans="2:8" x14ac:dyDescent="0.3">
      <c r="B270" t="s">
        <v>281</v>
      </c>
      <c r="C270" t="s">
        <v>831</v>
      </c>
      <c r="D270" t="s">
        <v>4</v>
      </c>
      <c r="E270">
        <v>1</v>
      </c>
      <c r="F270" t="str">
        <f>+CHOOSE(Tbl_2021[[#This Row],[Type of Service]],"PEST","Disinfe","Rodent","Bird","Termite")</f>
        <v>PEST</v>
      </c>
      <c r="G270">
        <v>36</v>
      </c>
      <c r="H270" s="4">
        <f>+CHOOSE(Tbl_2021[[#This Row],[Type of Service]],2020,3500,3200,4100,5300)*Tbl_2021[[#This Row],[No of Visits]]</f>
        <v>72720</v>
      </c>
    </row>
    <row r="271" spans="2:8" x14ac:dyDescent="0.3">
      <c r="B271" t="s">
        <v>282</v>
      </c>
      <c r="C271" t="s">
        <v>931</v>
      </c>
      <c r="D271" t="s">
        <v>6</v>
      </c>
      <c r="E271">
        <v>4</v>
      </c>
      <c r="F271" t="str">
        <f>+CHOOSE(Tbl_2021[[#This Row],[Type of Service]],"PEST","Disinfe","Rodent","Bird","Termite")</f>
        <v>Bird</v>
      </c>
      <c r="G271">
        <v>32</v>
      </c>
      <c r="H271" s="4">
        <f>+CHOOSE(Tbl_2021[[#This Row],[Type of Service]],2020,3500,3200,4100,5300)*Tbl_2021[[#This Row],[No of Visits]]</f>
        <v>131200</v>
      </c>
    </row>
    <row r="272" spans="2:8" x14ac:dyDescent="0.3">
      <c r="B272" t="s">
        <v>283</v>
      </c>
      <c r="C272" t="s">
        <v>932</v>
      </c>
      <c r="D272" t="s">
        <v>8</v>
      </c>
      <c r="E272">
        <v>4</v>
      </c>
      <c r="F272" t="str">
        <f>+CHOOSE(Tbl_2021[[#This Row],[Type of Service]],"PEST","Disinfe","Rodent","Bird","Termite")</f>
        <v>Bird</v>
      </c>
      <c r="G272">
        <v>10</v>
      </c>
      <c r="H272" s="4">
        <f>+CHOOSE(Tbl_2021[[#This Row],[Type of Service]],2020,3500,3200,4100,5300)*Tbl_2021[[#This Row],[No of Visits]]</f>
        <v>41000</v>
      </c>
    </row>
    <row r="273" spans="2:8" x14ac:dyDescent="0.3">
      <c r="B273" t="s">
        <v>284</v>
      </c>
      <c r="C273" t="s">
        <v>933</v>
      </c>
      <c r="D273" t="s">
        <v>10</v>
      </c>
      <c r="E273">
        <v>5</v>
      </c>
      <c r="F273" t="str">
        <f>+CHOOSE(Tbl_2021[[#This Row],[Type of Service]],"PEST","Disinfe","Rodent","Bird","Termite")</f>
        <v>Termite</v>
      </c>
      <c r="G273">
        <v>27</v>
      </c>
      <c r="H273" s="4">
        <f>+CHOOSE(Tbl_2021[[#This Row],[Type of Service]],2020,3500,3200,4100,5300)*Tbl_2021[[#This Row],[No of Visits]]</f>
        <v>143100</v>
      </c>
    </row>
    <row r="274" spans="2:8" x14ac:dyDescent="0.3">
      <c r="B274" t="s">
        <v>285</v>
      </c>
      <c r="C274" t="s">
        <v>934</v>
      </c>
      <c r="D274" t="s">
        <v>12</v>
      </c>
      <c r="E274">
        <v>4</v>
      </c>
      <c r="F274" t="str">
        <f>+CHOOSE(Tbl_2021[[#This Row],[Type of Service]],"PEST","Disinfe","Rodent","Bird","Termite")</f>
        <v>Bird</v>
      </c>
      <c r="G274">
        <v>10</v>
      </c>
      <c r="H274" s="4">
        <f>+CHOOSE(Tbl_2021[[#This Row],[Type of Service]],2020,3500,3200,4100,5300)*Tbl_2021[[#This Row],[No of Visits]]</f>
        <v>41000</v>
      </c>
    </row>
    <row r="275" spans="2:8" x14ac:dyDescent="0.3">
      <c r="B275" t="s">
        <v>286</v>
      </c>
      <c r="C275" t="s">
        <v>935</v>
      </c>
      <c r="D275" t="s">
        <v>14</v>
      </c>
      <c r="E275">
        <v>5</v>
      </c>
      <c r="F275" t="str">
        <f>+CHOOSE(Tbl_2021[[#This Row],[Type of Service]],"PEST","Disinfe","Rodent","Bird","Termite")</f>
        <v>Termite</v>
      </c>
      <c r="G275">
        <v>10</v>
      </c>
      <c r="H275" s="4">
        <f>+CHOOSE(Tbl_2021[[#This Row],[Type of Service]],2020,3500,3200,4100,5300)*Tbl_2021[[#This Row],[No of Visits]]</f>
        <v>53000</v>
      </c>
    </row>
    <row r="276" spans="2:8" x14ac:dyDescent="0.3">
      <c r="B276" t="s">
        <v>287</v>
      </c>
      <c r="C276" t="s">
        <v>936</v>
      </c>
      <c r="D276" t="s">
        <v>16</v>
      </c>
      <c r="E276">
        <v>1</v>
      </c>
      <c r="F276" t="str">
        <f>+CHOOSE(Tbl_2021[[#This Row],[Type of Service]],"PEST","Disinfe","Rodent","Bird","Termite")</f>
        <v>PEST</v>
      </c>
      <c r="G276">
        <v>7</v>
      </c>
      <c r="H276" s="4">
        <f>+CHOOSE(Tbl_2021[[#This Row],[Type of Service]],2020,3500,3200,4100,5300)*Tbl_2021[[#This Row],[No of Visits]]</f>
        <v>14140</v>
      </c>
    </row>
    <row r="277" spans="2:8" x14ac:dyDescent="0.3">
      <c r="B277" t="s">
        <v>288</v>
      </c>
      <c r="C277" t="s">
        <v>937</v>
      </c>
      <c r="D277" t="s">
        <v>4</v>
      </c>
      <c r="E277">
        <v>2</v>
      </c>
      <c r="F277" t="str">
        <f>+CHOOSE(Tbl_2021[[#This Row],[Type of Service]],"PEST","Disinfe","Rodent","Bird","Termite")</f>
        <v>Disinfe</v>
      </c>
      <c r="G277">
        <v>20</v>
      </c>
      <c r="H277" s="4">
        <f>+CHOOSE(Tbl_2021[[#This Row],[Type of Service]],2020,3500,3200,4100,5300)*Tbl_2021[[#This Row],[No of Visits]]</f>
        <v>70000</v>
      </c>
    </row>
    <row r="278" spans="2:8" x14ac:dyDescent="0.3">
      <c r="B278" t="s">
        <v>289</v>
      </c>
      <c r="C278" t="s">
        <v>938</v>
      </c>
      <c r="D278" t="s">
        <v>6</v>
      </c>
      <c r="E278">
        <v>2</v>
      </c>
      <c r="F278" t="str">
        <f>+CHOOSE(Tbl_2021[[#This Row],[Type of Service]],"PEST","Disinfe","Rodent","Bird","Termite")</f>
        <v>Disinfe</v>
      </c>
      <c r="G278">
        <v>29</v>
      </c>
      <c r="H278" s="4">
        <f>+CHOOSE(Tbl_2021[[#This Row],[Type of Service]],2020,3500,3200,4100,5300)*Tbl_2021[[#This Row],[No of Visits]]</f>
        <v>101500</v>
      </c>
    </row>
    <row r="279" spans="2:8" x14ac:dyDescent="0.3">
      <c r="B279" t="s">
        <v>290</v>
      </c>
      <c r="C279" t="s">
        <v>939</v>
      </c>
      <c r="D279" t="s">
        <v>8</v>
      </c>
      <c r="E279">
        <v>4</v>
      </c>
      <c r="F279" t="str">
        <f>+CHOOSE(Tbl_2021[[#This Row],[Type of Service]],"PEST","Disinfe","Rodent","Bird","Termite")</f>
        <v>Bird</v>
      </c>
      <c r="G279">
        <v>2</v>
      </c>
      <c r="H279" s="4">
        <f>+CHOOSE(Tbl_2021[[#This Row],[Type of Service]],2020,3500,3200,4100,5300)*Tbl_2021[[#This Row],[No of Visits]]</f>
        <v>8200</v>
      </c>
    </row>
    <row r="280" spans="2:8" x14ac:dyDescent="0.3">
      <c r="B280" t="s">
        <v>291</v>
      </c>
      <c r="C280" t="s">
        <v>772</v>
      </c>
      <c r="D280" t="s">
        <v>10</v>
      </c>
      <c r="E280">
        <v>4</v>
      </c>
      <c r="F280" t="str">
        <f>+CHOOSE(Tbl_2021[[#This Row],[Type of Service]],"PEST","Disinfe","Rodent","Bird","Termite")</f>
        <v>Bird</v>
      </c>
      <c r="G280">
        <v>5</v>
      </c>
      <c r="H280" s="4">
        <f>+CHOOSE(Tbl_2021[[#This Row],[Type of Service]],2020,3500,3200,4100,5300)*Tbl_2021[[#This Row],[No of Visits]]</f>
        <v>20500</v>
      </c>
    </row>
    <row r="281" spans="2:8" x14ac:dyDescent="0.3">
      <c r="B281" t="s">
        <v>292</v>
      </c>
      <c r="C281" t="s">
        <v>940</v>
      </c>
      <c r="D281" t="s">
        <v>12</v>
      </c>
      <c r="E281">
        <v>4</v>
      </c>
      <c r="F281" t="str">
        <f>+CHOOSE(Tbl_2021[[#This Row],[Type of Service]],"PEST","Disinfe","Rodent","Bird","Termite")</f>
        <v>Bird</v>
      </c>
      <c r="G281">
        <v>8</v>
      </c>
      <c r="H281" s="4">
        <f>+CHOOSE(Tbl_2021[[#This Row],[Type of Service]],2020,3500,3200,4100,5300)*Tbl_2021[[#This Row],[No of Visits]]</f>
        <v>32800</v>
      </c>
    </row>
    <row r="282" spans="2:8" x14ac:dyDescent="0.3">
      <c r="B282" t="s">
        <v>293</v>
      </c>
      <c r="C282" t="s">
        <v>941</v>
      </c>
      <c r="D282" t="s">
        <v>14</v>
      </c>
      <c r="E282">
        <v>4</v>
      </c>
      <c r="F282" t="str">
        <f>+CHOOSE(Tbl_2021[[#This Row],[Type of Service]],"PEST","Disinfe","Rodent","Bird","Termite")</f>
        <v>Bird</v>
      </c>
      <c r="G282">
        <v>4</v>
      </c>
      <c r="H282" s="4">
        <f>+CHOOSE(Tbl_2021[[#This Row],[Type of Service]],2020,3500,3200,4100,5300)*Tbl_2021[[#This Row],[No of Visits]]</f>
        <v>16400</v>
      </c>
    </row>
    <row r="283" spans="2:8" x14ac:dyDescent="0.3">
      <c r="B283" t="s">
        <v>294</v>
      </c>
      <c r="C283" t="s">
        <v>942</v>
      </c>
      <c r="D283" t="s">
        <v>16</v>
      </c>
      <c r="E283">
        <v>4</v>
      </c>
      <c r="F283" t="str">
        <f>+CHOOSE(Tbl_2021[[#This Row],[Type of Service]],"PEST","Disinfe","Rodent","Bird","Termite")</f>
        <v>Bird</v>
      </c>
      <c r="G283">
        <v>5</v>
      </c>
      <c r="H283" s="4">
        <f>+CHOOSE(Tbl_2021[[#This Row],[Type of Service]],2020,3500,3200,4100,5300)*Tbl_2021[[#This Row],[No of Visits]]</f>
        <v>20500</v>
      </c>
    </row>
    <row r="284" spans="2:8" x14ac:dyDescent="0.3">
      <c r="B284" t="s">
        <v>295</v>
      </c>
      <c r="C284" t="s">
        <v>943</v>
      </c>
      <c r="D284" t="s">
        <v>4</v>
      </c>
      <c r="E284">
        <v>4</v>
      </c>
      <c r="F284" t="str">
        <f>+CHOOSE(Tbl_2021[[#This Row],[Type of Service]],"PEST","Disinfe","Rodent","Bird","Termite")</f>
        <v>Bird</v>
      </c>
      <c r="G284">
        <v>26</v>
      </c>
      <c r="H284" s="4">
        <f>+CHOOSE(Tbl_2021[[#This Row],[Type of Service]],2020,3500,3200,4100,5300)*Tbl_2021[[#This Row],[No of Visits]]</f>
        <v>106600</v>
      </c>
    </row>
    <row r="285" spans="2:8" x14ac:dyDescent="0.3">
      <c r="B285" t="s">
        <v>296</v>
      </c>
      <c r="C285" t="s">
        <v>944</v>
      </c>
      <c r="D285" t="s">
        <v>6</v>
      </c>
      <c r="E285">
        <v>5</v>
      </c>
      <c r="F285" t="str">
        <f>+CHOOSE(Tbl_2021[[#This Row],[Type of Service]],"PEST","Disinfe","Rodent","Bird","Termite")</f>
        <v>Termite</v>
      </c>
      <c r="G285">
        <v>13</v>
      </c>
      <c r="H285" s="4">
        <f>+CHOOSE(Tbl_2021[[#This Row],[Type of Service]],2020,3500,3200,4100,5300)*Tbl_2021[[#This Row],[No of Visits]]</f>
        <v>68900</v>
      </c>
    </row>
    <row r="286" spans="2:8" x14ac:dyDescent="0.3">
      <c r="B286" t="s">
        <v>297</v>
      </c>
      <c r="C286" t="s">
        <v>945</v>
      </c>
      <c r="D286" t="s">
        <v>8</v>
      </c>
      <c r="E286">
        <v>4</v>
      </c>
      <c r="F286" t="str">
        <f>+CHOOSE(Tbl_2021[[#This Row],[Type of Service]],"PEST","Disinfe","Rodent","Bird","Termite")</f>
        <v>Bird</v>
      </c>
      <c r="G286">
        <v>21</v>
      </c>
      <c r="H286" s="4">
        <f>+CHOOSE(Tbl_2021[[#This Row],[Type of Service]],2020,3500,3200,4100,5300)*Tbl_2021[[#This Row],[No of Visits]]</f>
        <v>86100</v>
      </c>
    </row>
    <row r="287" spans="2:8" x14ac:dyDescent="0.3">
      <c r="B287" t="s">
        <v>298</v>
      </c>
      <c r="C287" t="s">
        <v>946</v>
      </c>
      <c r="D287" t="s">
        <v>10</v>
      </c>
      <c r="E287">
        <v>4</v>
      </c>
      <c r="F287" t="str">
        <f>+CHOOSE(Tbl_2021[[#This Row],[Type of Service]],"PEST","Disinfe","Rodent","Bird","Termite")</f>
        <v>Bird</v>
      </c>
      <c r="G287">
        <v>10</v>
      </c>
      <c r="H287" s="4">
        <f>+CHOOSE(Tbl_2021[[#This Row],[Type of Service]],2020,3500,3200,4100,5300)*Tbl_2021[[#This Row],[No of Visits]]</f>
        <v>41000</v>
      </c>
    </row>
    <row r="288" spans="2:8" x14ac:dyDescent="0.3">
      <c r="B288" t="s">
        <v>299</v>
      </c>
      <c r="C288" t="s">
        <v>947</v>
      </c>
      <c r="D288" t="s">
        <v>12</v>
      </c>
      <c r="E288">
        <v>2</v>
      </c>
      <c r="F288" t="str">
        <f>+CHOOSE(Tbl_2021[[#This Row],[Type of Service]],"PEST","Disinfe","Rodent","Bird","Termite")</f>
        <v>Disinfe</v>
      </c>
      <c r="G288">
        <v>2</v>
      </c>
      <c r="H288" s="4">
        <f>+CHOOSE(Tbl_2021[[#This Row],[Type of Service]],2020,3500,3200,4100,5300)*Tbl_2021[[#This Row],[No of Visits]]</f>
        <v>7000</v>
      </c>
    </row>
    <row r="289" spans="2:8" x14ac:dyDescent="0.3">
      <c r="B289" t="s">
        <v>300</v>
      </c>
      <c r="C289" t="s">
        <v>948</v>
      </c>
      <c r="D289" t="s">
        <v>14</v>
      </c>
      <c r="E289">
        <v>2</v>
      </c>
      <c r="F289" t="str">
        <f>+CHOOSE(Tbl_2021[[#This Row],[Type of Service]],"PEST","Disinfe","Rodent","Bird","Termite")</f>
        <v>Disinfe</v>
      </c>
      <c r="G289">
        <v>6</v>
      </c>
      <c r="H289" s="4">
        <f>+CHOOSE(Tbl_2021[[#This Row],[Type of Service]],2020,3500,3200,4100,5300)*Tbl_2021[[#This Row],[No of Visits]]</f>
        <v>21000</v>
      </c>
    </row>
    <row r="290" spans="2:8" x14ac:dyDescent="0.3">
      <c r="B290" t="s">
        <v>301</v>
      </c>
      <c r="C290" t="s">
        <v>949</v>
      </c>
      <c r="D290" t="s">
        <v>16</v>
      </c>
      <c r="E290">
        <v>2</v>
      </c>
      <c r="F290" t="str">
        <f>+CHOOSE(Tbl_2021[[#This Row],[Type of Service]],"PEST","Disinfe","Rodent","Bird","Termite")</f>
        <v>Disinfe</v>
      </c>
      <c r="G290">
        <v>24</v>
      </c>
      <c r="H290" s="4">
        <f>+CHOOSE(Tbl_2021[[#This Row],[Type of Service]],2020,3500,3200,4100,5300)*Tbl_2021[[#This Row],[No of Visits]]</f>
        <v>84000</v>
      </c>
    </row>
    <row r="291" spans="2:8" x14ac:dyDescent="0.3">
      <c r="B291" t="s">
        <v>302</v>
      </c>
      <c r="C291" t="s">
        <v>950</v>
      </c>
      <c r="D291" t="s">
        <v>4</v>
      </c>
      <c r="E291">
        <v>5</v>
      </c>
      <c r="F291" t="str">
        <f>+CHOOSE(Tbl_2021[[#This Row],[Type of Service]],"PEST","Disinfe","Rodent","Bird","Termite")</f>
        <v>Termite</v>
      </c>
      <c r="G291">
        <v>17</v>
      </c>
      <c r="H291" s="4">
        <f>+CHOOSE(Tbl_2021[[#This Row],[Type of Service]],2020,3500,3200,4100,5300)*Tbl_2021[[#This Row],[No of Visits]]</f>
        <v>90100</v>
      </c>
    </row>
    <row r="292" spans="2:8" x14ac:dyDescent="0.3">
      <c r="B292" t="s">
        <v>303</v>
      </c>
      <c r="C292" t="s">
        <v>951</v>
      </c>
      <c r="D292" t="s">
        <v>6</v>
      </c>
      <c r="E292">
        <v>4</v>
      </c>
      <c r="F292" t="str">
        <f>+CHOOSE(Tbl_2021[[#This Row],[Type of Service]],"PEST","Disinfe","Rodent","Bird","Termite")</f>
        <v>Bird</v>
      </c>
      <c r="G292">
        <v>3</v>
      </c>
      <c r="H292" s="4">
        <f>+CHOOSE(Tbl_2021[[#This Row],[Type of Service]],2020,3500,3200,4100,5300)*Tbl_2021[[#This Row],[No of Visits]]</f>
        <v>12300</v>
      </c>
    </row>
    <row r="293" spans="2:8" x14ac:dyDescent="0.3">
      <c r="B293" t="s">
        <v>304</v>
      </c>
      <c r="C293" t="s">
        <v>952</v>
      </c>
      <c r="D293" t="s">
        <v>8</v>
      </c>
      <c r="E293">
        <v>5</v>
      </c>
      <c r="F293" t="str">
        <f>+CHOOSE(Tbl_2021[[#This Row],[Type of Service]],"PEST","Disinfe","Rodent","Bird","Termite")</f>
        <v>Termite</v>
      </c>
      <c r="G293">
        <v>23</v>
      </c>
      <c r="H293" s="4">
        <f>+CHOOSE(Tbl_2021[[#This Row],[Type of Service]],2020,3500,3200,4100,5300)*Tbl_2021[[#This Row],[No of Visits]]</f>
        <v>121900</v>
      </c>
    </row>
    <row r="294" spans="2:8" x14ac:dyDescent="0.3">
      <c r="B294" t="s">
        <v>305</v>
      </c>
      <c r="C294" t="s">
        <v>953</v>
      </c>
      <c r="D294" t="s">
        <v>10</v>
      </c>
      <c r="E294">
        <v>5</v>
      </c>
      <c r="F294" t="str">
        <f>+CHOOSE(Tbl_2021[[#This Row],[Type of Service]],"PEST","Disinfe","Rodent","Bird","Termite")</f>
        <v>Termite</v>
      </c>
      <c r="G294">
        <v>5</v>
      </c>
      <c r="H294" s="4">
        <f>+CHOOSE(Tbl_2021[[#This Row],[Type of Service]],2020,3500,3200,4100,5300)*Tbl_2021[[#This Row],[No of Visits]]</f>
        <v>26500</v>
      </c>
    </row>
    <row r="295" spans="2:8" x14ac:dyDescent="0.3">
      <c r="B295" t="s">
        <v>306</v>
      </c>
      <c r="C295" t="s">
        <v>954</v>
      </c>
      <c r="D295" t="s">
        <v>12</v>
      </c>
      <c r="E295">
        <v>2</v>
      </c>
      <c r="F295" t="str">
        <f>+CHOOSE(Tbl_2021[[#This Row],[Type of Service]],"PEST","Disinfe","Rodent","Bird","Termite")</f>
        <v>Disinfe</v>
      </c>
      <c r="G295">
        <v>8</v>
      </c>
      <c r="H295" s="4">
        <f>+CHOOSE(Tbl_2021[[#This Row],[Type of Service]],2020,3500,3200,4100,5300)*Tbl_2021[[#This Row],[No of Visits]]</f>
        <v>28000</v>
      </c>
    </row>
    <row r="296" spans="2:8" x14ac:dyDescent="0.3">
      <c r="B296" t="s">
        <v>307</v>
      </c>
      <c r="C296" t="s">
        <v>815</v>
      </c>
      <c r="D296" t="s">
        <v>14</v>
      </c>
      <c r="E296">
        <v>5</v>
      </c>
      <c r="F296" t="str">
        <f>+CHOOSE(Tbl_2021[[#This Row],[Type of Service]],"PEST","Disinfe","Rodent","Bird","Termite")</f>
        <v>Termite</v>
      </c>
      <c r="G296">
        <v>14</v>
      </c>
      <c r="H296" s="4">
        <f>+CHOOSE(Tbl_2021[[#This Row],[Type of Service]],2020,3500,3200,4100,5300)*Tbl_2021[[#This Row],[No of Visits]]</f>
        <v>74200</v>
      </c>
    </row>
    <row r="297" spans="2:8" x14ac:dyDescent="0.3">
      <c r="B297" t="s">
        <v>308</v>
      </c>
      <c r="C297" t="s">
        <v>955</v>
      </c>
      <c r="D297" t="s">
        <v>16</v>
      </c>
      <c r="E297">
        <v>1</v>
      </c>
      <c r="F297" t="str">
        <f>+CHOOSE(Tbl_2021[[#This Row],[Type of Service]],"PEST","Disinfe","Rodent","Bird","Termite")</f>
        <v>PEST</v>
      </c>
      <c r="G297">
        <v>2</v>
      </c>
      <c r="H297" s="4">
        <f>+CHOOSE(Tbl_2021[[#This Row],[Type of Service]],2020,3500,3200,4100,5300)*Tbl_2021[[#This Row],[No of Visits]]</f>
        <v>4040</v>
      </c>
    </row>
    <row r="298" spans="2:8" x14ac:dyDescent="0.3">
      <c r="B298" t="s">
        <v>309</v>
      </c>
      <c r="C298" t="s">
        <v>956</v>
      </c>
      <c r="D298" t="s">
        <v>4</v>
      </c>
      <c r="E298">
        <v>2</v>
      </c>
      <c r="F298" t="str">
        <f>+CHOOSE(Tbl_2021[[#This Row],[Type of Service]],"PEST","Disinfe","Rodent","Bird","Termite")</f>
        <v>Disinfe</v>
      </c>
      <c r="G298">
        <v>24</v>
      </c>
      <c r="H298" s="4">
        <f>+CHOOSE(Tbl_2021[[#This Row],[Type of Service]],2020,3500,3200,4100,5300)*Tbl_2021[[#This Row],[No of Visits]]</f>
        <v>84000</v>
      </c>
    </row>
    <row r="299" spans="2:8" x14ac:dyDescent="0.3">
      <c r="B299" t="s">
        <v>310</v>
      </c>
      <c r="C299" t="s">
        <v>957</v>
      </c>
      <c r="D299" t="s">
        <v>6</v>
      </c>
      <c r="E299">
        <v>4</v>
      </c>
      <c r="F299" t="str">
        <f>+CHOOSE(Tbl_2021[[#This Row],[Type of Service]],"PEST","Disinfe","Rodent","Bird","Termite")</f>
        <v>Bird</v>
      </c>
      <c r="G299">
        <v>7</v>
      </c>
      <c r="H299" s="4">
        <f>+CHOOSE(Tbl_2021[[#This Row],[Type of Service]],2020,3500,3200,4100,5300)*Tbl_2021[[#This Row],[No of Visits]]</f>
        <v>28700</v>
      </c>
    </row>
    <row r="300" spans="2:8" x14ac:dyDescent="0.3">
      <c r="B300" t="s">
        <v>311</v>
      </c>
      <c r="C300" t="s">
        <v>958</v>
      </c>
      <c r="D300" t="s">
        <v>8</v>
      </c>
      <c r="E300">
        <v>4</v>
      </c>
      <c r="F300" t="str">
        <f>+CHOOSE(Tbl_2021[[#This Row],[Type of Service]],"PEST","Disinfe","Rodent","Bird","Termite")</f>
        <v>Bird</v>
      </c>
      <c r="G300">
        <v>2</v>
      </c>
      <c r="H300" s="4">
        <f>+CHOOSE(Tbl_2021[[#This Row],[Type of Service]],2020,3500,3200,4100,5300)*Tbl_2021[[#This Row],[No of Visits]]</f>
        <v>8200</v>
      </c>
    </row>
    <row r="301" spans="2:8" x14ac:dyDescent="0.3">
      <c r="B301" t="s">
        <v>312</v>
      </c>
      <c r="C301" t="s">
        <v>897</v>
      </c>
      <c r="D301" t="s">
        <v>10</v>
      </c>
      <c r="E301">
        <v>5</v>
      </c>
      <c r="F301" t="str">
        <f>+CHOOSE(Tbl_2021[[#This Row],[Type of Service]],"PEST","Disinfe","Rodent","Bird","Termite")</f>
        <v>Termite</v>
      </c>
      <c r="G301">
        <v>28</v>
      </c>
      <c r="H301" s="4">
        <f>+CHOOSE(Tbl_2021[[#This Row],[Type of Service]],2020,3500,3200,4100,5300)*Tbl_2021[[#This Row],[No of Visits]]</f>
        <v>148400</v>
      </c>
    </row>
    <row r="302" spans="2:8" x14ac:dyDescent="0.3">
      <c r="B302" t="s">
        <v>313</v>
      </c>
      <c r="C302" t="s">
        <v>959</v>
      </c>
      <c r="D302" t="s">
        <v>12</v>
      </c>
      <c r="E302">
        <v>5</v>
      </c>
      <c r="F302" t="str">
        <f>+CHOOSE(Tbl_2021[[#This Row],[Type of Service]],"PEST","Disinfe","Rodent","Bird","Termite")</f>
        <v>Termite</v>
      </c>
      <c r="G302">
        <v>7</v>
      </c>
      <c r="H302" s="4">
        <f>+CHOOSE(Tbl_2021[[#This Row],[Type of Service]],2020,3500,3200,4100,5300)*Tbl_2021[[#This Row],[No of Visits]]</f>
        <v>37100</v>
      </c>
    </row>
    <row r="303" spans="2:8" x14ac:dyDescent="0.3">
      <c r="B303" t="s">
        <v>314</v>
      </c>
      <c r="C303" t="s">
        <v>960</v>
      </c>
      <c r="D303" t="s">
        <v>14</v>
      </c>
      <c r="E303">
        <v>5</v>
      </c>
      <c r="F303" t="str">
        <f>+CHOOSE(Tbl_2021[[#This Row],[Type of Service]],"PEST","Disinfe","Rodent","Bird","Termite")</f>
        <v>Termite</v>
      </c>
      <c r="G303">
        <v>13</v>
      </c>
      <c r="H303" s="4">
        <f>+CHOOSE(Tbl_2021[[#This Row],[Type of Service]],2020,3500,3200,4100,5300)*Tbl_2021[[#This Row],[No of Visits]]</f>
        <v>68900</v>
      </c>
    </row>
    <row r="304" spans="2:8" x14ac:dyDescent="0.3">
      <c r="B304" t="s">
        <v>315</v>
      </c>
      <c r="C304" t="s">
        <v>815</v>
      </c>
      <c r="D304" t="s">
        <v>16</v>
      </c>
      <c r="E304">
        <v>4</v>
      </c>
      <c r="F304" t="str">
        <f>+CHOOSE(Tbl_2021[[#This Row],[Type of Service]],"PEST","Disinfe","Rodent","Bird","Termite")</f>
        <v>Bird</v>
      </c>
      <c r="G304">
        <v>22</v>
      </c>
      <c r="H304" s="4">
        <f>+CHOOSE(Tbl_2021[[#This Row],[Type of Service]],2020,3500,3200,4100,5300)*Tbl_2021[[#This Row],[No of Visits]]</f>
        <v>90200</v>
      </c>
    </row>
    <row r="305" spans="2:8" x14ac:dyDescent="0.3">
      <c r="B305" t="s">
        <v>316</v>
      </c>
      <c r="C305" t="s">
        <v>961</v>
      </c>
      <c r="D305" t="s">
        <v>4</v>
      </c>
      <c r="E305">
        <v>4</v>
      </c>
      <c r="F305" t="str">
        <f>+CHOOSE(Tbl_2021[[#This Row],[Type of Service]],"PEST","Disinfe","Rodent","Bird","Termite")</f>
        <v>Bird</v>
      </c>
      <c r="G305">
        <v>20</v>
      </c>
      <c r="H305" s="4">
        <f>+CHOOSE(Tbl_2021[[#This Row],[Type of Service]],2020,3500,3200,4100,5300)*Tbl_2021[[#This Row],[No of Visits]]</f>
        <v>82000</v>
      </c>
    </row>
    <row r="306" spans="2:8" x14ac:dyDescent="0.3">
      <c r="B306" t="s">
        <v>317</v>
      </c>
      <c r="C306" t="s">
        <v>962</v>
      </c>
      <c r="D306" t="s">
        <v>6</v>
      </c>
      <c r="E306">
        <v>1</v>
      </c>
      <c r="F306" t="str">
        <f>+CHOOSE(Tbl_2021[[#This Row],[Type of Service]],"PEST","Disinfe","Rodent","Bird","Termite")</f>
        <v>PEST</v>
      </c>
      <c r="G306">
        <v>27</v>
      </c>
      <c r="H306" s="4">
        <f>+CHOOSE(Tbl_2021[[#This Row],[Type of Service]],2020,3500,3200,4100,5300)*Tbl_2021[[#This Row],[No of Visits]]</f>
        <v>54540</v>
      </c>
    </row>
    <row r="307" spans="2:8" x14ac:dyDescent="0.3">
      <c r="B307" t="s">
        <v>318</v>
      </c>
      <c r="C307" t="s">
        <v>935</v>
      </c>
      <c r="D307" t="s">
        <v>8</v>
      </c>
      <c r="E307">
        <v>2</v>
      </c>
      <c r="F307" t="str">
        <f>+CHOOSE(Tbl_2021[[#This Row],[Type of Service]],"PEST","Disinfe","Rodent","Bird","Termite")</f>
        <v>Disinfe</v>
      </c>
      <c r="G307">
        <v>13</v>
      </c>
      <c r="H307" s="4">
        <f>+CHOOSE(Tbl_2021[[#This Row],[Type of Service]],2020,3500,3200,4100,5300)*Tbl_2021[[#This Row],[No of Visits]]</f>
        <v>45500</v>
      </c>
    </row>
    <row r="308" spans="2:8" x14ac:dyDescent="0.3">
      <c r="B308" t="s">
        <v>319</v>
      </c>
      <c r="C308" t="s">
        <v>963</v>
      </c>
      <c r="D308" t="s">
        <v>10</v>
      </c>
      <c r="E308">
        <v>1</v>
      </c>
      <c r="F308" t="str">
        <f>+CHOOSE(Tbl_2021[[#This Row],[Type of Service]],"PEST","Disinfe","Rodent","Bird","Termite")</f>
        <v>PEST</v>
      </c>
      <c r="G308">
        <v>32</v>
      </c>
      <c r="H308" s="4">
        <f>+CHOOSE(Tbl_2021[[#This Row],[Type of Service]],2020,3500,3200,4100,5300)*Tbl_2021[[#This Row],[No of Visits]]</f>
        <v>64640</v>
      </c>
    </row>
    <row r="309" spans="2:8" x14ac:dyDescent="0.3">
      <c r="B309" t="s">
        <v>320</v>
      </c>
      <c r="C309" t="s">
        <v>854</v>
      </c>
      <c r="D309" t="s">
        <v>12</v>
      </c>
      <c r="E309">
        <v>1</v>
      </c>
      <c r="F309" t="str">
        <f>+CHOOSE(Tbl_2021[[#This Row],[Type of Service]],"PEST","Disinfe","Rodent","Bird","Termite")</f>
        <v>PEST</v>
      </c>
      <c r="G309">
        <v>7</v>
      </c>
      <c r="H309" s="4">
        <f>+CHOOSE(Tbl_2021[[#This Row],[Type of Service]],2020,3500,3200,4100,5300)*Tbl_2021[[#This Row],[No of Visits]]</f>
        <v>14140</v>
      </c>
    </row>
    <row r="310" spans="2:8" x14ac:dyDescent="0.3">
      <c r="B310" t="s">
        <v>321</v>
      </c>
      <c r="C310" t="s">
        <v>754</v>
      </c>
      <c r="D310" t="s">
        <v>14</v>
      </c>
      <c r="E310">
        <v>5</v>
      </c>
      <c r="F310" t="str">
        <f>+CHOOSE(Tbl_2021[[#This Row],[Type of Service]],"PEST","Disinfe","Rodent","Bird","Termite")</f>
        <v>Termite</v>
      </c>
      <c r="G310">
        <v>27</v>
      </c>
      <c r="H310" s="4">
        <f>+CHOOSE(Tbl_2021[[#This Row],[Type of Service]],2020,3500,3200,4100,5300)*Tbl_2021[[#This Row],[No of Visits]]</f>
        <v>143100</v>
      </c>
    </row>
    <row r="311" spans="2:8" x14ac:dyDescent="0.3">
      <c r="B311" t="s">
        <v>322</v>
      </c>
      <c r="C311" t="s">
        <v>964</v>
      </c>
      <c r="D311" t="s">
        <v>16</v>
      </c>
      <c r="E311">
        <v>2</v>
      </c>
      <c r="F311" t="str">
        <f>+CHOOSE(Tbl_2021[[#This Row],[Type of Service]],"PEST","Disinfe","Rodent","Bird","Termite")</f>
        <v>Disinfe</v>
      </c>
      <c r="G311">
        <v>12</v>
      </c>
      <c r="H311" s="4">
        <f>+CHOOSE(Tbl_2021[[#This Row],[Type of Service]],2020,3500,3200,4100,5300)*Tbl_2021[[#This Row],[No of Visits]]</f>
        <v>42000</v>
      </c>
    </row>
    <row r="312" spans="2:8" x14ac:dyDescent="0.3">
      <c r="B312" t="s">
        <v>323</v>
      </c>
      <c r="C312" t="s">
        <v>965</v>
      </c>
      <c r="D312" t="s">
        <v>4</v>
      </c>
      <c r="E312">
        <v>4</v>
      </c>
      <c r="F312" t="str">
        <f>+CHOOSE(Tbl_2021[[#This Row],[Type of Service]],"PEST","Disinfe","Rodent","Bird","Termite")</f>
        <v>Bird</v>
      </c>
      <c r="G312">
        <v>6</v>
      </c>
      <c r="H312" s="4">
        <f>+CHOOSE(Tbl_2021[[#This Row],[Type of Service]],2020,3500,3200,4100,5300)*Tbl_2021[[#This Row],[No of Visits]]</f>
        <v>24600</v>
      </c>
    </row>
    <row r="313" spans="2:8" x14ac:dyDescent="0.3">
      <c r="B313" t="s">
        <v>324</v>
      </c>
      <c r="C313" t="s">
        <v>966</v>
      </c>
      <c r="D313" t="s">
        <v>6</v>
      </c>
      <c r="E313">
        <v>1</v>
      </c>
      <c r="F313" t="str">
        <f>+CHOOSE(Tbl_2021[[#This Row],[Type of Service]],"PEST","Disinfe","Rodent","Bird","Termite")</f>
        <v>PEST</v>
      </c>
      <c r="G313">
        <v>31</v>
      </c>
      <c r="H313" s="4">
        <f>+CHOOSE(Tbl_2021[[#This Row],[Type of Service]],2020,3500,3200,4100,5300)*Tbl_2021[[#This Row],[No of Visits]]</f>
        <v>62620</v>
      </c>
    </row>
    <row r="314" spans="2:8" x14ac:dyDescent="0.3">
      <c r="B314" t="s">
        <v>325</v>
      </c>
      <c r="C314" t="s">
        <v>967</v>
      </c>
      <c r="D314" t="s">
        <v>8</v>
      </c>
      <c r="E314">
        <v>2</v>
      </c>
      <c r="F314" t="str">
        <f>+CHOOSE(Tbl_2021[[#This Row],[Type of Service]],"PEST","Disinfe","Rodent","Bird","Termite")</f>
        <v>Disinfe</v>
      </c>
      <c r="G314">
        <v>36</v>
      </c>
      <c r="H314" s="4">
        <f>+CHOOSE(Tbl_2021[[#This Row],[Type of Service]],2020,3500,3200,4100,5300)*Tbl_2021[[#This Row],[No of Visits]]</f>
        <v>126000</v>
      </c>
    </row>
    <row r="315" spans="2:8" x14ac:dyDescent="0.3">
      <c r="B315" t="s">
        <v>326</v>
      </c>
      <c r="C315" t="s">
        <v>968</v>
      </c>
      <c r="D315" t="s">
        <v>10</v>
      </c>
      <c r="E315">
        <v>2</v>
      </c>
      <c r="F315" t="str">
        <f>+CHOOSE(Tbl_2021[[#This Row],[Type of Service]],"PEST","Disinfe","Rodent","Bird","Termite")</f>
        <v>Disinfe</v>
      </c>
      <c r="G315">
        <v>23</v>
      </c>
      <c r="H315" s="4">
        <f>+CHOOSE(Tbl_2021[[#This Row],[Type of Service]],2020,3500,3200,4100,5300)*Tbl_2021[[#This Row],[No of Visits]]</f>
        <v>80500</v>
      </c>
    </row>
    <row r="316" spans="2:8" x14ac:dyDescent="0.3">
      <c r="B316" t="s">
        <v>327</v>
      </c>
      <c r="C316" t="s">
        <v>969</v>
      </c>
      <c r="D316" t="s">
        <v>12</v>
      </c>
      <c r="E316">
        <v>5</v>
      </c>
      <c r="F316" t="str">
        <f>+CHOOSE(Tbl_2021[[#This Row],[Type of Service]],"PEST","Disinfe","Rodent","Bird","Termite")</f>
        <v>Termite</v>
      </c>
      <c r="G316">
        <v>34</v>
      </c>
      <c r="H316" s="4">
        <f>+CHOOSE(Tbl_2021[[#This Row],[Type of Service]],2020,3500,3200,4100,5300)*Tbl_2021[[#This Row],[No of Visits]]</f>
        <v>180200</v>
      </c>
    </row>
    <row r="317" spans="2:8" x14ac:dyDescent="0.3">
      <c r="B317" t="s">
        <v>328</v>
      </c>
      <c r="C317" t="s">
        <v>837</v>
      </c>
      <c r="D317" t="s">
        <v>14</v>
      </c>
      <c r="E317">
        <v>5</v>
      </c>
      <c r="F317" t="str">
        <f>+CHOOSE(Tbl_2021[[#This Row],[Type of Service]],"PEST","Disinfe","Rodent","Bird","Termite")</f>
        <v>Termite</v>
      </c>
      <c r="G317">
        <v>11</v>
      </c>
      <c r="H317" s="4">
        <f>+CHOOSE(Tbl_2021[[#This Row],[Type of Service]],2020,3500,3200,4100,5300)*Tbl_2021[[#This Row],[No of Visits]]</f>
        <v>58300</v>
      </c>
    </row>
    <row r="318" spans="2:8" x14ac:dyDescent="0.3">
      <c r="B318" t="s">
        <v>329</v>
      </c>
      <c r="C318" t="s">
        <v>970</v>
      </c>
      <c r="D318" t="s">
        <v>16</v>
      </c>
      <c r="E318">
        <v>4</v>
      </c>
      <c r="F318" t="str">
        <f>+CHOOSE(Tbl_2021[[#This Row],[Type of Service]],"PEST","Disinfe","Rodent","Bird","Termite")</f>
        <v>Bird</v>
      </c>
      <c r="G318">
        <v>10</v>
      </c>
      <c r="H318" s="4">
        <f>+CHOOSE(Tbl_2021[[#This Row],[Type of Service]],2020,3500,3200,4100,5300)*Tbl_2021[[#This Row],[No of Visits]]</f>
        <v>41000</v>
      </c>
    </row>
    <row r="319" spans="2:8" x14ac:dyDescent="0.3">
      <c r="B319" t="s">
        <v>330</v>
      </c>
      <c r="C319" t="s">
        <v>971</v>
      </c>
      <c r="D319" t="s">
        <v>4</v>
      </c>
      <c r="E319">
        <v>1</v>
      </c>
      <c r="F319" t="str">
        <f>+CHOOSE(Tbl_2021[[#This Row],[Type of Service]],"PEST","Disinfe","Rodent","Bird","Termite")</f>
        <v>PEST</v>
      </c>
      <c r="G319">
        <v>26</v>
      </c>
      <c r="H319" s="4">
        <f>+CHOOSE(Tbl_2021[[#This Row],[Type of Service]],2020,3500,3200,4100,5300)*Tbl_2021[[#This Row],[No of Visits]]</f>
        <v>52520</v>
      </c>
    </row>
    <row r="320" spans="2:8" x14ac:dyDescent="0.3">
      <c r="B320" t="s">
        <v>331</v>
      </c>
      <c r="C320" t="s">
        <v>886</v>
      </c>
      <c r="D320" t="s">
        <v>6</v>
      </c>
      <c r="E320">
        <v>4</v>
      </c>
      <c r="F320" t="str">
        <f>+CHOOSE(Tbl_2021[[#This Row],[Type of Service]],"PEST","Disinfe","Rodent","Bird","Termite")</f>
        <v>Bird</v>
      </c>
      <c r="G320">
        <v>33</v>
      </c>
      <c r="H320" s="4">
        <f>+CHOOSE(Tbl_2021[[#This Row],[Type of Service]],2020,3500,3200,4100,5300)*Tbl_2021[[#This Row],[No of Visits]]</f>
        <v>135300</v>
      </c>
    </row>
    <row r="321" spans="2:8" x14ac:dyDescent="0.3">
      <c r="B321" t="s">
        <v>332</v>
      </c>
      <c r="C321" t="s">
        <v>972</v>
      </c>
      <c r="D321" t="s">
        <v>8</v>
      </c>
      <c r="E321">
        <v>5</v>
      </c>
      <c r="F321" t="str">
        <f>+CHOOSE(Tbl_2021[[#This Row],[Type of Service]],"PEST","Disinfe","Rodent","Bird","Termite")</f>
        <v>Termite</v>
      </c>
      <c r="G321">
        <v>26</v>
      </c>
      <c r="H321" s="4">
        <f>+CHOOSE(Tbl_2021[[#This Row],[Type of Service]],2020,3500,3200,4100,5300)*Tbl_2021[[#This Row],[No of Visits]]</f>
        <v>137800</v>
      </c>
    </row>
    <row r="322" spans="2:8" x14ac:dyDescent="0.3">
      <c r="B322" t="s">
        <v>333</v>
      </c>
      <c r="C322" t="s">
        <v>973</v>
      </c>
      <c r="D322" t="s">
        <v>10</v>
      </c>
      <c r="E322">
        <v>4</v>
      </c>
      <c r="F322" t="str">
        <f>+CHOOSE(Tbl_2021[[#This Row],[Type of Service]],"PEST","Disinfe","Rodent","Bird","Termite")</f>
        <v>Bird</v>
      </c>
      <c r="G322">
        <v>5</v>
      </c>
      <c r="H322" s="4">
        <f>+CHOOSE(Tbl_2021[[#This Row],[Type of Service]],2020,3500,3200,4100,5300)*Tbl_2021[[#This Row],[No of Visits]]</f>
        <v>20500</v>
      </c>
    </row>
    <row r="323" spans="2:8" x14ac:dyDescent="0.3">
      <c r="B323" t="s">
        <v>334</v>
      </c>
      <c r="C323" t="s">
        <v>974</v>
      </c>
      <c r="D323" t="s">
        <v>12</v>
      </c>
      <c r="E323">
        <v>4</v>
      </c>
      <c r="F323" t="str">
        <f>+CHOOSE(Tbl_2021[[#This Row],[Type of Service]],"PEST","Disinfe","Rodent","Bird","Termite")</f>
        <v>Bird</v>
      </c>
      <c r="G323">
        <v>30</v>
      </c>
      <c r="H323" s="4">
        <f>+CHOOSE(Tbl_2021[[#This Row],[Type of Service]],2020,3500,3200,4100,5300)*Tbl_2021[[#This Row],[No of Visits]]</f>
        <v>123000</v>
      </c>
    </row>
    <row r="324" spans="2:8" x14ac:dyDescent="0.3">
      <c r="B324" t="s">
        <v>335</v>
      </c>
      <c r="C324" t="s">
        <v>975</v>
      </c>
      <c r="D324" t="s">
        <v>14</v>
      </c>
      <c r="E324">
        <v>4</v>
      </c>
      <c r="F324" t="str">
        <f>+CHOOSE(Tbl_2021[[#This Row],[Type of Service]],"PEST","Disinfe","Rodent","Bird","Termite")</f>
        <v>Bird</v>
      </c>
      <c r="G324">
        <v>15</v>
      </c>
      <c r="H324" s="4">
        <f>+CHOOSE(Tbl_2021[[#This Row],[Type of Service]],2020,3500,3200,4100,5300)*Tbl_2021[[#This Row],[No of Visits]]</f>
        <v>61500</v>
      </c>
    </row>
    <row r="325" spans="2:8" x14ac:dyDescent="0.3">
      <c r="B325" t="s">
        <v>336</v>
      </c>
      <c r="C325" t="s">
        <v>976</v>
      </c>
      <c r="D325" t="s">
        <v>16</v>
      </c>
      <c r="E325">
        <v>5</v>
      </c>
      <c r="F325" t="str">
        <f>+CHOOSE(Tbl_2021[[#This Row],[Type of Service]],"PEST","Disinfe","Rodent","Bird","Termite")</f>
        <v>Termite</v>
      </c>
      <c r="G325">
        <v>14</v>
      </c>
      <c r="H325" s="4">
        <f>+CHOOSE(Tbl_2021[[#This Row],[Type of Service]],2020,3500,3200,4100,5300)*Tbl_2021[[#This Row],[No of Visits]]</f>
        <v>74200</v>
      </c>
    </row>
    <row r="326" spans="2:8" x14ac:dyDescent="0.3">
      <c r="B326" t="s">
        <v>337</v>
      </c>
      <c r="C326" t="s">
        <v>977</v>
      </c>
      <c r="D326" t="s">
        <v>4</v>
      </c>
      <c r="E326">
        <v>4</v>
      </c>
      <c r="F326" t="str">
        <f>+CHOOSE(Tbl_2021[[#This Row],[Type of Service]],"PEST","Disinfe","Rodent","Bird","Termite")</f>
        <v>Bird</v>
      </c>
      <c r="G326">
        <v>33</v>
      </c>
      <c r="H326" s="4">
        <f>+CHOOSE(Tbl_2021[[#This Row],[Type of Service]],2020,3500,3200,4100,5300)*Tbl_2021[[#This Row],[No of Visits]]</f>
        <v>135300</v>
      </c>
    </row>
    <row r="327" spans="2:8" x14ac:dyDescent="0.3">
      <c r="B327" t="s">
        <v>338</v>
      </c>
      <c r="C327" t="s">
        <v>978</v>
      </c>
      <c r="D327" t="s">
        <v>6</v>
      </c>
      <c r="E327">
        <v>5</v>
      </c>
      <c r="F327" t="str">
        <f>+CHOOSE(Tbl_2021[[#This Row],[Type of Service]],"PEST","Disinfe","Rodent","Bird","Termite")</f>
        <v>Termite</v>
      </c>
      <c r="G327">
        <v>10</v>
      </c>
      <c r="H327" s="4">
        <f>+CHOOSE(Tbl_2021[[#This Row],[Type of Service]],2020,3500,3200,4100,5300)*Tbl_2021[[#This Row],[No of Visits]]</f>
        <v>53000</v>
      </c>
    </row>
    <row r="328" spans="2:8" x14ac:dyDescent="0.3">
      <c r="B328" t="s">
        <v>339</v>
      </c>
      <c r="C328" t="s">
        <v>979</v>
      </c>
      <c r="D328" t="s">
        <v>8</v>
      </c>
      <c r="E328">
        <v>2</v>
      </c>
      <c r="F328" t="str">
        <f>+CHOOSE(Tbl_2021[[#This Row],[Type of Service]],"PEST","Disinfe","Rodent","Bird","Termite")</f>
        <v>Disinfe</v>
      </c>
      <c r="G328">
        <v>21</v>
      </c>
      <c r="H328" s="4">
        <f>+CHOOSE(Tbl_2021[[#This Row],[Type of Service]],2020,3500,3200,4100,5300)*Tbl_2021[[#This Row],[No of Visits]]</f>
        <v>73500</v>
      </c>
    </row>
    <row r="329" spans="2:8" x14ac:dyDescent="0.3">
      <c r="B329" t="s">
        <v>340</v>
      </c>
      <c r="C329" t="s">
        <v>980</v>
      </c>
      <c r="D329" t="s">
        <v>10</v>
      </c>
      <c r="E329">
        <v>5</v>
      </c>
      <c r="F329" t="str">
        <f>+CHOOSE(Tbl_2021[[#This Row],[Type of Service]],"PEST","Disinfe","Rodent","Bird","Termite")</f>
        <v>Termite</v>
      </c>
      <c r="G329">
        <v>24</v>
      </c>
      <c r="H329" s="4">
        <f>+CHOOSE(Tbl_2021[[#This Row],[Type of Service]],2020,3500,3200,4100,5300)*Tbl_2021[[#This Row],[No of Visits]]</f>
        <v>127200</v>
      </c>
    </row>
    <row r="330" spans="2:8" x14ac:dyDescent="0.3">
      <c r="B330" t="s">
        <v>341</v>
      </c>
      <c r="C330" t="s">
        <v>981</v>
      </c>
      <c r="D330" t="s">
        <v>12</v>
      </c>
      <c r="E330">
        <v>2</v>
      </c>
      <c r="F330" t="str">
        <f>+CHOOSE(Tbl_2021[[#This Row],[Type of Service]],"PEST","Disinfe","Rodent","Bird","Termite")</f>
        <v>Disinfe</v>
      </c>
      <c r="G330">
        <v>21</v>
      </c>
      <c r="H330" s="4">
        <f>+CHOOSE(Tbl_2021[[#This Row],[Type of Service]],2020,3500,3200,4100,5300)*Tbl_2021[[#This Row],[No of Visits]]</f>
        <v>73500</v>
      </c>
    </row>
    <row r="331" spans="2:8" x14ac:dyDescent="0.3">
      <c r="B331" t="s">
        <v>342</v>
      </c>
      <c r="C331" t="s">
        <v>982</v>
      </c>
      <c r="D331" t="s">
        <v>14</v>
      </c>
      <c r="E331">
        <v>1</v>
      </c>
      <c r="F331" t="str">
        <f>+CHOOSE(Tbl_2021[[#This Row],[Type of Service]],"PEST","Disinfe","Rodent","Bird","Termite")</f>
        <v>PEST</v>
      </c>
      <c r="G331">
        <v>20</v>
      </c>
      <c r="H331" s="4">
        <f>+CHOOSE(Tbl_2021[[#This Row],[Type of Service]],2020,3500,3200,4100,5300)*Tbl_2021[[#This Row],[No of Visits]]</f>
        <v>40400</v>
      </c>
    </row>
    <row r="332" spans="2:8" x14ac:dyDescent="0.3">
      <c r="B332" t="s">
        <v>343</v>
      </c>
      <c r="C332" t="s">
        <v>983</v>
      </c>
      <c r="D332" t="s">
        <v>16</v>
      </c>
      <c r="E332">
        <v>2</v>
      </c>
      <c r="F332" t="str">
        <f>+CHOOSE(Tbl_2021[[#This Row],[Type of Service]],"PEST","Disinfe","Rodent","Bird","Termite")</f>
        <v>Disinfe</v>
      </c>
      <c r="G332">
        <v>9</v>
      </c>
      <c r="H332" s="4">
        <f>+CHOOSE(Tbl_2021[[#This Row],[Type of Service]],2020,3500,3200,4100,5300)*Tbl_2021[[#This Row],[No of Visits]]</f>
        <v>31500</v>
      </c>
    </row>
    <row r="333" spans="2:8" x14ac:dyDescent="0.3">
      <c r="B333" t="s">
        <v>344</v>
      </c>
      <c r="C333" t="s">
        <v>984</v>
      </c>
      <c r="D333" t="s">
        <v>4</v>
      </c>
      <c r="E333">
        <v>4</v>
      </c>
      <c r="F333" t="str">
        <f>+CHOOSE(Tbl_2021[[#This Row],[Type of Service]],"PEST","Disinfe","Rodent","Bird","Termite")</f>
        <v>Bird</v>
      </c>
      <c r="G333">
        <v>26</v>
      </c>
      <c r="H333" s="4">
        <f>+CHOOSE(Tbl_2021[[#This Row],[Type of Service]],2020,3500,3200,4100,5300)*Tbl_2021[[#This Row],[No of Visits]]</f>
        <v>106600</v>
      </c>
    </row>
    <row r="334" spans="2:8" x14ac:dyDescent="0.3">
      <c r="B334" t="s">
        <v>345</v>
      </c>
      <c r="C334" t="s">
        <v>985</v>
      </c>
      <c r="D334" t="s">
        <v>6</v>
      </c>
      <c r="E334">
        <v>4</v>
      </c>
      <c r="F334" t="str">
        <f>+CHOOSE(Tbl_2021[[#This Row],[Type of Service]],"PEST","Disinfe","Rodent","Bird","Termite")</f>
        <v>Bird</v>
      </c>
      <c r="G334">
        <v>30</v>
      </c>
      <c r="H334" s="4">
        <f>+CHOOSE(Tbl_2021[[#This Row],[Type of Service]],2020,3500,3200,4100,5300)*Tbl_2021[[#This Row],[No of Visits]]</f>
        <v>123000</v>
      </c>
    </row>
    <row r="335" spans="2:8" x14ac:dyDescent="0.3">
      <c r="B335" t="s">
        <v>346</v>
      </c>
      <c r="C335" t="s">
        <v>986</v>
      </c>
      <c r="D335" t="s">
        <v>8</v>
      </c>
      <c r="E335">
        <v>4</v>
      </c>
      <c r="F335" t="str">
        <f>+CHOOSE(Tbl_2021[[#This Row],[Type of Service]],"PEST","Disinfe","Rodent","Bird","Termite")</f>
        <v>Bird</v>
      </c>
      <c r="G335">
        <v>17</v>
      </c>
      <c r="H335" s="4">
        <f>+CHOOSE(Tbl_2021[[#This Row],[Type of Service]],2020,3500,3200,4100,5300)*Tbl_2021[[#This Row],[No of Visits]]</f>
        <v>69700</v>
      </c>
    </row>
    <row r="336" spans="2:8" x14ac:dyDescent="0.3">
      <c r="B336" t="s">
        <v>347</v>
      </c>
      <c r="C336" t="s">
        <v>987</v>
      </c>
      <c r="D336" t="s">
        <v>10</v>
      </c>
      <c r="E336">
        <v>1</v>
      </c>
      <c r="F336" t="str">
        <f>+CHOOSE(Tbl_2021[[#This Row],[Type of Service]],"PEST","Disinfe","Rodent","Bird","Termite")</f>
        <v>PEST</v>
      </c>
      <c r="G336">
        <v>27</v>
      </c>
      <c r="H336" s="4">
        <f>+CHOOSE(Tbl_2021[[#This Row],[Type of Service]],2020,3500,3200,4100,5300)*Tbl_2021[[#This Row],[No of Visits]]</f>
        <v>54540</v>
      </c>
    </row>
    <row r="337" spans="2:8" x14ac:dyDescent="0.3">
      <c r="B337" t="s">
        <v>348</v>
      </c>
      <c r="C337" t="s">
        <v>988</v>
      </c>
      <c r="D337" t="s">
        <v>12</v>
      </c>
      <c r="E337">
        <v>5</v>
      </c>
      <c r="F337" t="str">
        <f>+CHOOSE(Tbl_2021[[#This Row],[Type of Service]],"PEST","Disinfe","Rodent","Bird","Termite")</f>
        <v>Termite</v>
      </c>
      <c r="G337">
        <v>31</v>
      </c>
      <c r="H337" s="4">
        <f>+CHOOSE(Tbl_2021[[#This Row],[Type of Service]],2020,3500,3200,4100,5300)*Tbl_2021[[#This Row],[No of Visits]]</f>
        <v>164300</v>
      </c>
    </row>
    <row r="338" spans="2:8" x14ac:dyDescent="0.3">
      <c r="B338" t="s">
        <v>349</v>
      </c>
      <c r="C338" t="s">
        <v>989</v>
      </c>
      <c r="D338" t="s">
        <v>14</v>
      </c>
      <c r="E338">
        <v>2</v>
      </c>
      <c r="F338" t="str">
        <f>+CHOOSE(Tbl_2021[[#This Row],[Type of Service]],"PEST","Disinfe","Rodent","Bird","Termite")</f>
        <v>Disinfe</v>
      </c>
      <c r="G338">
        <v>9</v>
      </c>
      <c r="H338" s="4">
        <f>+CHOOSE(Tbl_2021[[#This Row],[Type of Service]],2020,3500,3200,4100,5300)*Tbl_2021[[#This Row],[No of Visits]]</f>
        <v>31500</v>
      </c>
    </row>
    <row r="339" spans="2:8" x14ac:dyDescent="0.3">
      <c r="B339" t="s">
        <v>350</v>
      </c>
      <c r="C339" t="s">
        <v>990</v>
      </c>
      <c r="D339" t="s">
        <v>16</v>
      </c>
      <c r="E339">
        <v>1</v>
      </c>
      <c r="F339" t="str">
        <f>+CHOOSE(Tbl_2021[[#This Row],[Type of Service]],"PEST","Disinfe","Rodent","Bird","Termite")</f>
        <v>PEST</v>
      </c>
      <c r="G339">
        <v>1</v>
      </c>
      <c r="H339" s="4">
        <f>+CHOOSE(Tbl_2021[[#This Row],[Type of Service]],2020,3500,3200,4100,5300)*Tbl_2021[[#This Row],[No of Visits]]</f>
        <v>2020</v>
      </c>
    </row>
    <row r="340" spans="2:8" x14ac:dyDescent="0.3">
      <c r="B340" t="s">
        <v>351</v>
      </c>
      <c r="C340" t="s">
        <v>991</v>
      </c>
      <c r="D340" t="s">
        <v>4</v>
      </c>
      <c r="E340">
        <v>4</v>
      </c>
      <c r="F340" t="str">
        <f>+CHOOSE(Tbl_2021[[#This Row],[Type of Service]],"PEST","Disinfe","Rodent","Bird","Termite")</f>
        <v>Bird</v>
      </c>
      <c r="G340">
        <v>8</v>
      </c>
      <c r="H340" s="4">
        <f>+CHOOSE(Tbl_2021[[#This Row],[Type of Service]],2020,3500,3200,4100,5300)*Tbl_2021[[#This Row],[No of Visits]]</f>
        <v>32800</v>
      </c>
    </row>
    <row r="341" spans="2:8" x14ac:dyDescent="0.3">
      <c r="B341" t="s">
        <v>352</v>
      </c>
      <c r="C341" t="s">
        <v>992</v>
      </c>
      <c r="D341" t="s">
        <v>6</v>
      </c>
      <c r="E341">
        <v>5</v>
      </c>
      <c r="F341" t="str">
        <f>+CHOOSE(Tbl_2021[[#This Row],[Type of Service]],"PEST","Disinfe","Rodent","Bird","Termite")</f>
        <v>Termite</v>
      </c>
      <c r="G341">
        <v>12</v>
      </c>
      <c r="H341" s="4">
        <f>+CHOOSE(Tbl_2021[[#This Row],[Type of Service]],2020,3500,3200,4100,5300)*Tbl_2021[[#This Row],[No of Visits]]</f>
        <v>63600</v>
      </c>
    </row>
    <row r="342" spans="2:8" x14ac:dyDescent="0.3">
      <c r="B342" t="s">
        <v>353</v>
      </c>
      <c r="C342" t="s">
        <v>993</v>
      </c>
      <c r="D342" t="s">
        <v>8</v>
      </c>
      <c r="E342">
        <v>2</v>
      </c>
      <c r="F342" t="str">
        <f>+CHOOSE(Tbl_2021[[#This Row],[Type of Service]],"PEST","Disinfe","Rodent","Bird","Termite")</f>
        <v>Disinfe</v>
      </c>
      <c r="G342">
        <v>2</v>
      </c>
      <c r="H342" s="4">
        <f>+CHOOSE(Tbl_2021[[#This Row],[Type of Service]],2020,3500,3200,4100,5300)*Tbl_2021[[#This Row],[No of Visits]]</f>
        <v>7000</v>
      </c>
    </row>
    <row r="343" spans="2:8" x14ac:dyDescent="0.3">
      <c r="B343" t="s">
        <v>354</v>
      </c>
      <c r="C343" t="s">
        <v>994</v>
      </c>
      <c r="D343" t="s">
        <v>10</v>
      </c>
      <c r="E343">
        <v>4</v>
      </c>
      <c r="F343" t="str">
        <f>+CHOOSE(Tbl_2021[[#This Row],[Type of Service]],"PEST","Disinfe","Rodent","Bird","Termite")</f>
        <v>Bird</v>
      </c>
      <c r="G343">
        <v>29</v>
      </c>
      <c r="H343" s="4">
        <f>+CHOOSE(Tbl_2021[[#This Row],[Type of Service]],2020,3500,3200,4100,5300)*Tbl_2021[[#This Row],[No of Visits]]</f>
        <v>118900</v>
      </c>
    </row>
    <row r="344" spans="2:8" x14ac:dyDescent="0.3">
      <c r="B344" t="s">
        <v>355</v>
      </c>
      <c r="C344" t="s">
        <v>995</v>
      </c>
      <c r="D344" t="s">
        <v>12</v>
      </c>
      <c r="E344">
        <v>5</v>
      </c>
      <c r="F344" t="str">
        <f>+CHOOSE(Tbl_2021[[#This Row],[Type of Service]],"PEST","Disinfe","Rodent","Bird","Termite")</f>
        <v>Termite</v>
      </c>
      <c r="G344">
        <v>12</v>
      </c>
      <c r="H344" s="4">
        <f>+CHOOSE(Tbl_2021[[#This Row],[Type of Service]],2020,3500,3200,4100,5300)*Tbl_2021[[#This Row],[No of Visits]]</f>
        <v>63600</v>
      </c>
    </row>
    <row r="345" spans="2:8" x14ac:dyDescent="0.3">
      <c r="B345" t="s">
        <v>356</v>
      </c>
      <c r="C345" t="s">
        <v>996</v>
      </c>
      <c r="D345" t="s">
        <v>14</v>
      </c>
      <c r="E345">
        <v>2</v>
      </c>
      <c r="F345" t="str">
        <f>+CHOOSE(Tbl_2021[[#This Row],[Type of Service]],"PEST","Disinfe","Rodent","Bird","Termite")</f>
        <v>Disinfe</v>
      </c>
      <c r="G345">
        <v>13</v>
      </c>
      <c r="H345" s="4">
        <f>+CHOOSE(Tbl_2021[[#This Row],[Type of Service]],2020,3500,3200,4100,5300)*Tbl_2021[[#This Row],[No of Visits]]</f>
        <v>45500</v>
      </c>
    </row>
    <row r="346" spans="2:8" x14ac:dyDescent="0.3">
      <c r="B346" t="s">
        <v>357</v>
      </c>
      <c r="C346" t="s">
        <v>997</v>
      </c>
      <c r="D346" t="s">
        <v>16</v>
      </c>
      <c r="E346">
        <v>4</v>
      </c>
      <c r="F346" t="str">
        <f>+CHOOSE(Tbl_2021[[#This Row],[Type of Service]],"PEST","Disinfe","Rodent","Bird","Termite")</f>
        <v>Bird</v>
      </c>
      <c r="G346">
        <v>27</v>
      </c>
      <c r="H346" s="4">
        <f>+CHOOSE(Tbl_2021[[#This Row],[Type of Service]],2020,3500,3200,4100,5300)*Tbl_2021[[#This Row],[No of Visits]]</f>
        <v>110700</v>
      </c>
    </row>
    <row r="347" spans="2:8" x14ac:dyDescent="0.3">
      <c r="B347" t="s">
        <v>358</v>
      </c>
      <c r="C347" t="s">
        <v>998</v>
      </c>
      <c r="D347" t="s">
        <v>4</v>
      </c>
      <c r="E347">
        <v>1</v>
      </c>
      <c r="F347" t="str">
        <f>+CHOOSE(Tbl_2021[[#This Row],[Type of Service]],"PEST","Disinfe","Rodent","Bird","Termite")</f>
        <v>PEST</v>
      </c>
      <c r="G347">
        <v>25</v>
      </c>
      <c r="H347" s="4">
        <f>+CHOOSE(Tbl_2021[[#This Row],[Type of Service]],2020,3500,3200,4100,5300)*Tbl_2021[[#This Row],[No of Visits]]</f>
        <v>50500</v>
      </c>
    </row>
    <row r="348" spans="2:8" x14ac:dyDescent="0.3">
      <c r="B348" t="s">
        <v>359</v>
      </c>
      <c r="C348" t="s">
        <v>951</v>
      </c>
      <c r="D348" t="s">
        <v>6</v>
      </c>
      <c r="E348">
        <v>1</v>
      </c>
      <c r="F348" t="str">
        <f>+CHOOSE(Tbl_2021[[#This Row],[Type of Service]],"PEST","Disinfe","Rodent","Bird","Termite")</f>
        <v>PEST</v>
      </c>
      <c r="G348">
        <v>14</v>
      </c>
      <c r="H348" s="4">
        <f>+CHOOSE(Tbl_2021[[#This Row],[Type of Service]],2020,3500,3200,4100,5300)*Tbl_2021[[#This Row],[No of Visits]]</f>
        <v>28280</v>
      </c>
    </row>
    <row r="349" spans="2:8" x14ac:dyDescent="0.3">
      <c r="B349" t="s">
        <v>360</v>
      </c>
      <c r="C349" t="s">
        <v>999</v>
      </c>
      <c r="D349" t="s">
        <v>8</v>
      </c>
      <c r="E349">
        <v>4</v>
      </c>
      <c r="F349" t="str">
        <f>+CHOOSE(Tbl_2021[[#This Row],[Type of Service]],"PEST","Disinfe","Rodent","Bird","Termite")</f>
        <v>Bird</v>
      </c>
      <c r="G349">
        <v>5</v>
      </c>
      <c r="H349" s="4">
        <f>+CHOOSE(Tbl_2021[[#This Row],[Type of Service]],2020,3500,3200,4100,5300)*Tbl_2021[[#This Row],[No of Visits]]</f>
        <v>20500</v>
      </c>
    </row>
    <row r="350" spans="2:8" x14ac:dyDescent="0.3">
      <c r="B350" t="s">
        <v>361</v>
      </c>
      <c r="C350" t="s">
        <v>1000</v>
      </c>
      <c r="D350" t="s">
        <v>10</v>
      </c>
      <c r="E350">
        <v>1</v>
      </c>
      <c r="F350" t="str">
        <f>+CHOOSE(Tbl_2021[[#This Row],[Type of Service]],"PEST","Disinfe","Rodent","Bird","Termite")</f>
        <v>PEST</v>
      </c>
      <c r="G350">
        <v>3</v>
      </c>
      <c r="H350" s="4">
        <f>+CHOOSE(Tbl_2021[[#This Row],[Type of Service]],2020,3500,3200,4100,5300)*Tbl_2021[[#This Row],[No of Visits]]</f>
        <v>6060</v>
      </c>
    </row>
    <row r="351" spans="2:8" x14ac:dyDescent="0.3">
      <c r="B351" t="s">
        <v>362</v>
      </c>
      <c r="C351" t="s">
        <v>985</v>
      </c>
      <c r="D351" t="s">
        <v>12</v>
      </c>
      <c r="E351">
        <v>4</v>
      </c>
      <c r="F351" t="str">
        <f>+CHOOSE(Tbl_2021[[#This Row],[Type of Service]],"PEST","Disinfe","Rodent","Bird","Termite")</f>
        <v>Bird</v>
      </c>
      <c r="G351">
        <v>4</v>
      </c>
      <c r="H351" s="4">
        <f>+CHOOSE(Tbl_2021[[#This Row],[Type of Service]],2020,3500,3200,4100,5300)*Tbl_2021[[#This Row],[No of Visits]]</f>
        <v>16400</v>
      </c>
    </row>
    <row r="352" spans="2:8" x14ac:dyDescent="0.3">
      <c r="B352" t="s">
        <v>363</v>
      </c>
      <c r="C352" t="s">
        <v>1001</v>
      </c>
      <c r="D352" t="s">
        <v>14</v>
      </c>
      <c r="E352">
        <v>5</v>
      </c>
      <c r="F352" t="str">
        <f>+CHOOSE(Tbl_2021[[#This Row],[Type of Service]],"PEST","Disinfe","Rodent","Bird","Termite")</f>
        <v>Termite</v>
      </c>
      <c r="G352">
        <v>27</v>
      </c>
      <c r="H352" s="4">
        <f>+CHOOSE(Tbl_2021[[#This Row],[Type of Service]],2020,3500,3200,4100,5300)*Tbl_2021[[#This Row],[No of Visits]]</f>
        <v>143100</v>
      </c>
    </row>
    <row r="353" spans="2:8" x14ac:dyDescent="0.3">
      <c r="B353" t="s">
        <v>364</v>
      </c>
      <c r="C353" t="s">
        <v>1002</v>
      </c>
      <c r="D353" t="s">
        <v>16</v>
      </c>
      <c r="E353">
        <v>4</v>
      </c>
      <c r="F353" t="str">
        <f>+CHOOSE(Tbl_2021[[#This Row],[Type of Service]],"PEST","Disinfe","Rodent","Bird","Termite")</f>
        <v>Bird</v>
      </c>
      <c r="G353">
        <v>3</v>
      </c>
      <c r="H353" s="4">
        <f>+CHOOSE(Tbl_2021[[#This Row],[Type of Service]],2020,3500,3200,4100,5300)*Tbl_2021[[#This Row],[No of Visits]]</f>
        <v>12300</v>
      </c>
    </row>
    <row r="354" spans="2:8" x14ac:dyDescent="0.3">
      <c r="B354" t="s">
        <v>365</v>
      </c>
      <c r="C354" t="s">
        <v>1003</v>
      </c>
      <c r="D354" t="s">
        <v>4</v>
      </c>
      <c r="E354">
        <v>4</v>
      </c>
      <c r="F354" t="str">
        <f>+CHOOSE(Tbl_2021[[#This Row],[Type of Service]],"PEST","Disinfe","Rodent","Bird","Termite")</f>
        <v>Bird</v>
      </c>
      <c r="G354">
        <v>13</v>
      </c>
      <c r="H354" s="4">
        <f>+CHOOSE(Tbl_2021[[#This Row],[Type of Service]],2020,3500,3200,4100,5300)*Tbl_2021[[#This Row],[No of Visits]]</f>
        <v>53300</v>
      </c>
    </row>
    <row r="355" spans="2:8" x14ac:dyDescent="0.3">
      <c r="B355" t="s">
        <v>366</v>
      </c>
      <c r="C355" t="s">
        <v>1004</v>
      </c>
      <c r="D355" t="s">
        <v>6</v>
      </c>
      <c r="E355">
        <v>2</v>
      </c>
      <c r="F355" t="str">
        <f>+CHOOSE(Tbl_2021[[#This Row],[Type of Service]],"PEST","Disinfe","Rodent","Bird","Termite")</f>
        <v>Disinfe</v>
      </c>
      <c r="G355">
        <v>31</v>
      </c>
      <c r="H355" s="4">
        <f>+CHOOSE(Tbl_2021[[#This Row],[Type of Service]],2020,3500,3200,4100,5300)*Tbl_2021[[#This Row],[No of Visits]]</f>
        <v>108500</v>
      </c>
    </row>
    <row r="356" spans="2:8" x14ac:dyDescent="0.3">
      <c r="B356" t="s">
        <v>367</v>
      </c>
      <c r="C356" t="s">
        <v>727</v>
      </c>
      <c r="D356" t="s">
        <v>8</v>
      </c>
      <c r="E356">
        <v>2</v>
      </c>
      <c r="F356" t="str">
        <f>+CHOOSE(Tbl_2021[[#This Row],[Type of Service]],"PEST","Disinfe","Rodent","Bird","Termite")</f>
        <v>Disinfe</v>
      </c>
      <c r="G356">
        <v>24</v>
      </c>
      <c r="H356" s="4">
        <f>+CHOOSE(Tbl_2021[[#This Row],[Type of Service]],2020,3500,3200,4100,5300)*Tbl_2021[[#This Row],[No of Visits]]</f>
        <v>84000</v>
      </c>
    </row>
    <row r="357" spans="2:8" x14ac:dyDescent="0.3">
      <c r="B357" t="s">
        <v>368</v>
      </c>
      <c r="C357" t="s">
        <v>1005</v>
      </c>
      <c r="D357" t="s">
        <v>10</v>
      </c>
      <c r="E357">
        <v>4</v>
      </c>
      <c r="F357" t="str">
        <f>+CHOOSE(Tbl_2021[[#This Row],[Type of Service]],"PEST","Disinfe","Rodent","Bird","Termite")</f>
        <v>Bird</v>
      </c>
      <c r="G357">
        <v>5</v>
      </c>
      <c r="H357" s="4">
        <f>+CHOOSE(Tbl_2021[[#This Row],[Type of Service]],2020,3500,3200,4100,5300)*Tbl_2021[[#This Row],[No of Visits]]</f>
        <v>20500</v>
      </c>
    </row>
    <row r="358" spans="2:8" x14ac:dyDescent="0.3">
      <c r="B358" t="s">
        <v>369</v>
      </c>
      <c r="C358" t="s">
        <v>1006</v>
      </c>
      <c r="D358" t="s">
        <v>12</v>
      </c>
      <c r="E358">
        <v>4</v>
      </c>
      <c r="F358" t="str">
        <f>+CHOOSE(Tbl_2021[[#This Row],[Type of Service]],"PEST","Disinfe","Rodent","Bird","Termite")</f>
        <v>Bird</v>
      </c>
      <c r="G358">
        <v>19</v>
      </c>
      <c r="H358" s="4">
        <f>+CHOOSE(Tbl_2021[[#This Row],[Type of Service]],2020,3500,3200,4100,5300)*Tbl_2021[[#This Row],[No of Visits]]</f>
        <v>77900</v>
      </c>
    </row>
    <row r="359" spans="2:8" x14ac:dyDescent="0.3">
      <c r="B359" t="s">
        <v>370</v>
      </c>
      <c r="C359" t="s">
        <v>1007</v>
      </c>
      <c r="D359" t="s">
        <v>14</v>
      </c>
      <c r="E359">
        <v>4</v>
      </c>
      <c r="F359" t="str">
        <f>+CHOOSE(Tbl_2021[[#This Row],[Type of Service]],"PEST","Disinfe","Rodent","Bird","Termite")</f>
        <v>Bird</v>
      </c>
      <c r="G359">
        <v>11</v>
      </c>
      <c r="H359" s="4">
        <f>+CHOOSE(Tbl_2021[[#This Row],[Type of Service]],2020,3500,3200,4100,5300)*Tbl_2021[[#This Row],[No of Visits]]</f>
        <v>45100</v>
      </c>
    </row>
    <row r="360" spans="2:8" x14ac:dyDescent="0.3">
      <c r="B360" t="s">
        <v>371</v>
      </c>
      <c r="C360" t="s">
        <v>1008</v>
      </c>
      <c r="D360" t="s">
        <v>16</v>
      </c>
      <c r="E360">
        <v>4</v>
      </c>
      <c r="F360" t="str">
        <f>+CHOOSE(Tbl_2021[[#This Row],[Type of Service]],"PEST","Disinfe","Rodent","Bird","Termite")</f>
        <v>Bird</v>
      </c>
      <c r="G360">
        <v>5</v>
      </c>
      <c r="H360" s="4">
        <f>+CHOOSE(Tbl_2021[[#This Row],[Type of Service]],2020,3500,3200,4100,5300)*Tbl_2021[[#This Row],[No of Visits]]</f>
        <v>20500</v>
      </c>
    </row>
    <row r="361" spans="2:8" x14ac:dyDescent="0.3">
      <c r="B361" t="s">
        <v>372</v>
      </c>
      <c r="C361" t="s">
        <v>1009</v>
      </c>
      <c r="D361" t="s">
        <v>4</v>
      </c>
      <c r="E361">
        <v>4</v>
      </c>
      <c r="F361" t="str">
        <f>+CHOOSE(Tbl_2021[[#This Row],[Type of Service]],"PEST","Disinfe","Rodent","Bird","Termite")</f>
        <v>Bird</v>
      </c>
      <c r="G361">
        <v>4</v>
      </c>
      <c r="H361" s="4">
        <f>+CHOOSE(Tbl_2021[[#This Row],[Type of Service]],2020,3500,3200,4100,5300)*Tbl_2021[[#This Row],[No of Visits]]</f>
        <v>16400</v>
      </c>
    </row>
    <row r="362" spans="2:8" x14ac:dyDescent="0.3">
      <c r="B362" t="s">
        <v>373</v>
      </c>
      <c r="C362" t="s">
        <v>1010</v>
      </c>
      <c r="D362" t="s">
        <v>6</v>
      </c>
      <c r="E362">
        <v>1</v>
      </c>
      <c r="F362" t="str">
        <f>+CHOOSE(Tbl_2021[[#This Row],[Type of Service]],"PEST","Disinfe","Rodent","Bird","Termite")</f>
        <v>PEST</v>
      </c>
      <c r="G362">
        <v>17</v>
      </c>
      <c r="H362" s="4">
        <f>+CHOOSE(Tbl_2021[[#This Row],[Type of Service]],2020,3500,3200,4100,5300)*Tbl_2021[[#This Row],[No of Visits]]</f>
        <v>34340</v>
      </c>
    </row>
    <row r="363" spans="2:8" x14ac:dyDescent="0.3">
      <c r="B363" t="s">
        <v>374</v>
      </c>
      <c r="C363" t="s">
        <v>953</v>
      </c>
      <c r="D363" t="s">
        <v>8</v>
      </c>
      <c r="E363">
        <v>4</v>
      </c>
      <c r="F363" t="str">
        <f>+CHOOSE(Tbl_2021[[#This Row],[Type of Service]],"PEST","Disinfe","Rodent","Bird","Termite")</f>
        <v>Bird</v>
      </c>
      <c r="G363">
        <v>16</v>
      </c>
      <c r="H363" s="4">
        <f>+CHOOSE(Tbl_2021[[#This Row],[Type of Service]],2020,3500,3200,4100,5300)*Tbl_2021[[#This Row],[No of Visits]]</f>
        <v>65600</v>
      </c>
    </row>
    <row r="364" spans="2:8" x14ac:dyDescent="0.3">
      <c r="B364" t="s">
        <v>375</v>
      </c>
      <c r="C364" t="s">
        <v>962</v>
      </c>
      <c r="D364" t="s">
        <v>10</v>
      </c>
      <c r="E364">
        <v>4</v>
      </c>
      <c r="F364" t="str">
        <f>+CHOOSE(Tbl_2021[[#This Row],[Type of Service]],"PEST","Disinfe","Rodent","Bird","Termite")</f>
        <v>Bird</v>
      </c>
      <c r="G364">
        <v>6</v>
      </c>
      <c r="H364" s="4">
        <f>+CHOOSE(Tbl_2021[[#This Row],[Type of Service]],2020,3500,3200,4100,5300)*Tbl_2021[[#This Row],[No of Visits]]</f>
        <v>24600</v>
      </c>
    </row>
    <row r="365" spans="2:8" x14ac:dyDescent="0.3">
      <c r="B365" t="s">
        <v>376</v>
      </c>
      <c r="C365" t="s">
        <v>1011</v>
      </c>
      <c r="D365" t="s">
        <v>12</v>
      </c>
      <c r="E365">
        <v>5</v>
      </c>
      <c r="F365" t="str">
        <f>+CHOOSE(Tbl_2021[[#This Row],[Type of Service]],"PEST","Disinfe","Rodent","Bird","Termite")</f>
        <v>Termite</v>
      </c>
      <c r="G365">
        <v>2</v>
      </c>
      <c r="H365" s="4">
        <f>+CHOOSE(Tbl_2021[[#This Row],[Type of Service]],2020,3500,3200,4100,5300)*Tbl_2021[[#This Row],[No of Visits]]</f>
        <v>10600</v>
      </c>
    </row>
    <row r="366" spans="2:8" x14ac:dyDescent="0.3">
      <c r="B366" t="s">
        <v>377</v>
      </c>
      <c r="C366" t="s">
        <v>1012</v>
      </c>
      <c r="D366" t="s">
        <v>14</v>
      </c>
      <c r="E366">
        <v>1</v>
      </c>
      <c r="F366" t="str">
        <f>+CHOOSE(Tbl_2021[[#This Row],[Type of Service]],"PEST","Disinfe","Rodent","Bird","Termite")</f>
        <v>PEST</v>
      </c>
      <c r="G366">
        <v>24</v>
      </c>
      <c r="H366" s="4">
        <f>+CHOOSE(Tbl_2021[[#This Row],[Type of Service]],2020,3500,3200,4100,5300)*Tbl_2021[[#This Row],[No of Visits]]</f>
        <v>48480</v>
      </c>
    </row>
    <row r="367" spans="2:8" x14ac:dyDescent="0.3">
      <c r="B367" t="s">
        <v>378</v>
      </c>
      <c r="C367" t="s">
        <v>1013</v>
      </c>
      <c r="D367" t="s">
        <v>16</v>
      </c>
      <c r="E367">
        <v>4</v>
      </c>
      <c r="F367" t="str">
        <f>+CHOOSE(Tbl_2021[[#This Row],[Type of Service]],"PEST","Disinfe","Rodent","Bird","Termite")</f>
        <v>Bird</v>
      </c>
      <c r="G367">
        <v>22</v>
      </c>
      <c r="H367" s="4">
        <f>+CHOOSE(Tbl_2021[[#This Row],[Type of Service]],2020,3500,3200,4100,5300)*Tbl_2021[[#This Row],[No of Visits]]</f>
        <v>90200</v>
      </c>
    </row>
    <row r="368" spans="2:8" x14ac:dyDescent="0.3">
      <c r="B368" t="s">
        <v>379</v>
      </c>
      <c r="C368" t="s">
        <v>1014</v>
      </c>
      <c r="D368" t="s">
        <v>4</v>
      </c>
      <c r="E368">
        <v>2</v>
      </c>
      <c r="F368" t="str">
        <f>+CHOOSE(Tbl_2021[[#This Row],[Type of Service]],"PEST","Disinfe","Rodent","Bird","Termite")</f>
        <v>Disinfe</v>
      </c>
      <c r="G368">
        <v>18</v>
      </c>
      <c r="H368" s="4">
        <f>+CHOOSE(Tbl_2021[[#This Row],[Type of Service]],2020,3500,3200,4100,5300)*Tbl_2021[[#This Row],[No of Visits]]</f>
        <v>63000</v>
      </c>
    </row>
    <row r="369" spans="2:8" x14ac:dyDescent="0.3">
      <c r="B369" t="s">
        <v>380</v>
      </c>
      <c r="C369" t="s">
        <v>1015</v>
      </c>
      <c r="D369" t="s">
        <v>6</v>
      </c>
      <c r="E369">
        <v>4</v>
      </c>
      <c r="F369" t="str">
        <f>+CHOOSE(Tbl_2021[[#This Row],[Type of Service]],"PEST","Disinfe","Rodent","Bird","Termite")</f>
        <v>Bird</v>
      </c>
      <c r="G369">
        <v>31</v>
      </c>
      <c r="H369" s="4">
        <f>+CHOOSE(Tbl_2021[[#This Row],[Type of Service]],2020,3500,3200,4100,5300)*Tbl_2021[[#This Row],[No of Visits]]</f>
        <v>127100</v>
      </c>
    </row>
    <row r="370" spans="2:8" x14ac:dyDescent="0.3">
      <c r="B370" t="s">
        <v>381</v>
      </c>
      <c r="C370" t="s">
        <v>1016</v>
      </c>
      <c r="D370" t="s">
        <v>8</v>
      </c>
      <c r="E370">
        <v>4</v>
      </c>
      <c r="F370" t="str">
        <f>+CHOOSE(Tbl_2021[[#This Row],[Type of Service]],"PEST","Disinfe","Rodent","Bird","Termite")</f>
        <v>Bird</v>
      </c>
      <c r="G370">
        <v>3</v>
      </c>
      <c r="H370" s="4">
        <f>+CHOOSE(Tbl_2021[[#This Row],[Type of Service]],2020,3500,3200,4100,5300)*Tbl_2021[[#This Row],[No of Visits]]</f>
        <v>12300</v>
      </c>
    </row>
    <row r="371" spans="2:8" x14ac:dyDescent="0.3">
      <c r="B371" t="s">
        <v>382</v>
      </c>
      <c r="C371" t="s">
        <v>1017</v>
      </c>
      <c r="D371" t="s">
        <v>10</v>
      </c>
      <c r="E371">
        <v>4</v>
      </c>
      <c r="F371" t="str">
        <f>+CHOOSE(Tbl_2021[[#This Row],[Type of Service]],"PEST","Disinfe","Rodent","Bird","Termite")</f>
        <v>Bird</v>
      </c>
      <c r="G371">
        <v>2</v>
      </c>
      <c r="H371" s="4">
        <f>+CHOOSE(Tbl_2021[[#This Row],[Type of Service]],2020,3500,3200,4100,5300)*Tbl_2021[[#This Row],[No of Visits]]</f>
        <v>8200</v>
      </c>
    </row>
    <row r="372" spans="2:8" x14ac:dyDescent="0.3">
      <c r="B372" t="s">
        <v>383</v>
      </c>
      <c r="C372" t="s">
        <v>1018</v>
      </c>
      <c r="D372" t="s">
        <v>12</v>
      </c>
      <c r="E372">
        <v>4</v>
      </c>
      <c r="F372" t="str">
        <f>+CHOOSE(Tbl_2021[[#This Row],[Type of Service]],"PEST","Disinfe","Rodent","Bird","Termite")</f>
        <v>Bird</v>
      </c>
      <c r="G372">
        <v>4</v>
      </c>
      <c r="H372" s="4">
        <f>+CHOOSE(Tbl_2021[[#This Row],[Type of Service]],2020,3500,3200,4100,5300)*Tbl_2021[[#This Row],[No of Visits]]</f>
        <v>16400</v>
      </c>
    </row>
    <row r="373" spans="2:8" x14ac:dyDescent="0.3">
      <c r="B373" t="s">
        <v>384</v>
      </c>
      <c r="C373" t="s">
        <v>1019</v>
      </c>
      <c r="D373" t="s">
        <v>14</v>
      </c>
      <c r="E373">
        <v>1</v>
      </c>
      <c r="F373" t="str">
        <f>+CHOOSE(Tbl_2021[[#This Row],[Type of Service]],"PEST","Disinfe","Rodent","Bird","Termite")</f>
        <v>PEST</v>
      </c>
      <c r="G373">
        <v>10</v>
      </c>
      <c r="H373" s="4">
        <f>+CHOOSE(Tbl_2021[[#This Row],[Type of Service]],2020,3500,3200,4100,5300)*Tbl_2021[[#This Row],[No of Visits]]</f>
        <v>20200</v>
      </c>
    </row>
    <row r="374" spans="2:8" x14ac:dyDescent="0.3">
      <c r="B374" t="s">
        <v>385</v>
      </c>
      <c r="C374" t="s">
        <v>1020</v>
      </c>
      <c r="D374" t="s">
        <v>16</v>
      </c>
      <c r="E374">
        <v>4</v>
      </c>
      <c r="F374" t="str">
        <f>+CHOOSE(Tbl_2021[[#This Row],[Type of Service]],"PEST","Disinfe","Rodent","Bird","Termite")</f>
        <v>Bird</v>
      </c>
      <c r="G374">
        <v>17</v>
      </c>
      <c r="H374" s="4">
        <f>+CHOOSE(Tbl_2021[[#This Row],[Type of Service]],2020,3500,3200,4100,5300)*Tbl_2021[[#This Row],[No of Visits]]</f>
        <v>69700</v>
      </c>
    </row>
    <row r="375" spans="2:8" x14ac:dyDescent="0.3">
      <c r="B375" t="s">
        <v>386</v>
      </c>
      <c r="C375" t="s">
        <v>1021</v>
      </c>
      <c r="D375" t="s">
        <v>4</v>
      </c>
      <c r="E375">
        <v>4</v>
      </c>
      <c r="F375" t="str">
        <f>+CHOOSE(Tbl_2021[[#This Row],[Type of Service]],"PEST","Disinfe","Rodent","Bird","Termite")</f>
        <v>Bird</v>
      </c>
      <c r="G375">
        <v>34</v>
      </c>
      <c r="H375" s="4">
        <f>+CHOOSE(Tbl_2021[[#This Row],[Type of Service]],2020,3500,3200,4100,5300)*Tbl_2021[[#This Row],[No of Visits]]</f>
        <v>139400</v>
      </c>
    </row>
    <row r="376" spans="2:8" x14ac:dyDescent="0.3">
      <c r="B376" t="s">
        <v>387</v>
      </c>
      <c r="C376" t="s">
        <v>827</v>
      </c>
      <c r="D376" t="s">
        <v>6</v>
      </c>
      <c r="E376">
        <v>4</v>
      </c>
      <c r="F376" t="str">
        <f>+CHOOSE(Tbl_2021[[#This Row],[Type of Service]],"PEST","Disinfe","Rodent","Bird","Termite")</f>
        <v>Bird</v>
      </c>
      <c r="G376">
        <v>5</v>
      </c>
      <c r="H376" s="4">
        <f>+CHOOSE(Tbl_2021[[#This Row],[Type of Service]],2020,3500,3200,4100,5300)*Tbl_2021[[#This Row],[No of Visits]]</f>
        <v>20500</v>
      </c>
    </row>
    <row r="377" spans="2:8" x14ac:dyDescent="0.3">
      <c r="B377" t="s">
        <v>388</v>
      </c>
      <c r="C377" t="s">
        <v>1022</v>
      </c>
      <c r="D377" t="s">
        <v>8</v>
      </c>
      <c r="E377">
        <v>4</v>
      </c>
      <c r="F377" t="str">
        <f>+CHOOSE(Tbl_2021[[#This Row],[Type of Service]],"PEST","Disinfe","Rodent","Bird","Termite")</f>
        <v>Bird</v>
      </c>
      <c r="G377">
        <v>30</v>
      </c>
      <c r="H377" s="4">
        <f>+CHOOSE(Tbl_2021[[#This Row],[Type of Service]],2020,3500,3200,4100,5300)*Tbl_2021[[#This Row],[No of Visits]]</f>
        <v>123000</v>
      </c>
    </row>
    <row r="378" spans="2:8" x14ac:dyDescent="0.3">
      <c r="B378" t="s">
        <v>389</v>
      </c>
      <c r="C378" t="s">
        <v>1023</v>
      </c>
      <c r="D378" t="s">
        <v>10</v>
      </c>
      <c r="E378">
        <v>5</v>
      </c>
      <c r="F378" t="str">
        <f>+CHOOSE(Tbl_2021[[#This Row],[Type of Service]],"PEST","Disinfe","Rodent","Bird","Termite")</f>
        <v>Termite</v>
      </c>
      <c r="G378">
        <v>12</v>
      </c>
      <c r="H378" s="4">
        <f>+CHOOSE(Tbl_2021[[#This Row],[Type of Service]],2020,3500,3200,4100,5300)*Tbl_2021[[#This Row],[No of Visits]]</f>
        <v>63600</v>
      </c>
    </row>
    <row r="379" spans="2:8" x14ac:dyDescent="0.3">
      <c r="B379" t="s">
        <v>390</v>
      </c>
      <c r="C379" t="s">
        <v>1024</v>
      </c>
      <c r="D379" t="s">
        <v>12</v>
      </c>
      <c r="E379">
        <v>2</v>
      </c>
      <c r="F379" t="str">
        <f>+CHOOSE(Tbl_2021[[#This Row],[Type of Service]],"PEST","Disinfe","Rodent","Bird","Termite")</f>
        <v>Disinfe</v>
      </c>
      <c r="G379">
        <v>30</v>
      </c>
      <c r="H379" s="4">
        <f>+CHOOSE(Tbl_2021[[#This Row],[Type of Service]],2020,3500,3200,4100,5300)*Tbl_2021[[#This Row],[No of Visits]]</f>
        <v>105000</v>
      </c>
    </row>
    <row r="380" spans="2:8" x14ac:dyDescent="0.3">
      <c r="B380" t="s">
        <v>391</v>
      </c>
      <c r="C380" t="s">
        <v>763</v>
      </c>
      <c r="D380" t="s">
        <v>14</v>
      </c>
      <c r="E380">
        <v>4</v>
      </c>
      <c r="F380" t="str">
        <f>+CHOOSE(Tbl_2021[[#This Row],[Type of Service]],"PEST","Disinfe","Rodent","Bird","Termite")</f>
        <v>Bird</v>
      </c>
      <c r="G380">
        <v>16</v>
      </c>
      <c r="H380" s="4">
        <f>+CHOOSE(Tbl_2021[[#This Row],[Type of Service]],2020,3500,3200,4100,5300)*Tbl_2021[[#This Row],[No of Visits]]</f>
        <v>65600</v>
      </c>
    </row>
    <row r="381" spans="2:8" x14ac:dyDescent="0.3">
      <c r="B381" t="s">
        <v>392</v>
      </c>
      <c r="C381" t="s">
        <v>1025</v>
      </c>
      <c r="D381" t="s">
        <v>16</v>
      </c>
      <c r="E381">
        <v>4</v>
      </c>
      <c r="F381" t="str">
        <f>+CHOOSE(Tbl_2021[[#This Row],[Type of Service]],"PEST","Disinfe","Rodent","Bird","Termite")</f>
        <v>Bird</v>
      </c>
      <c r="G381">
        <v>18</v>
      </c>
      <c r="H381" s="4">
        <f>+CHOOSE(Tbl_2021[[#This Row],[Type of Service]],2020,3500,3200,4100,5300)*Tbl_2021[[#This Row],[No of Visits]]</f>
        <v>73800</v>
      </c>
    </row>
    <row r="382" spans="2:8" x14ac:dyDescent="0.3">
      <c r="B382" t="s">
        <v>393</v>
      </c>
      <c r="C382" t="s">
        <v>1026</v>
      </c>
      <c r="D382" t="s">
        <v>4</v>
      </c>
      <c r="E382">
        <v>4</v>
      </c>
      <c r="F382" t="str">
        <f>+CHOOSE(Tbl_2021[[#This Row],[Type of Service]],"PEST","Disinfe","Rodent","Bird","Termite")</f>
        <v>Bird</v>
      </c>
      <c r="G382">
        <v>17</v>
      </c>
      <c r="H382" s="4">
        <f>+CHOOSE(Tbl_2021[[#This Row],[Type of Service]],2020,3500,3200,4100,5300)*Tbl_2021[[#This Row],[No of Visits]]</f>
        <v>69700</v>
      </c>
    </row>
    <row r="383" spans="2:8" x14ac:dyDescent="0.3">
      <c r="B383" t="s">
        <v>394</v>
      </c>
      <c r="C383" t="s">
        <v>1027</v>
      </c>
      <c r="D383" t="s">
        <v>6</v>
      </c>
      <c r="E383">
        <v>4</v>
      </c>
      <c r="F383" t="str">
        <f>+CHOOSE(Tbl_2021[[#This Row],[Type of Service]],"PEST","Disinfe","Rodent","Bird","Termite")</f>
        <v>Bird</v>
      </c>
      <c r="G383">
        <v>5</v>
      </c>
      <c r="H383" s="4">
        <f>+CHOOSE(Tbl_2021[[#This Row],[Type of Service]],2020,3500,3200,4100,5300)*Tbl_2021[[#This Row],[No of Visits]]</f>
        <v>20500</v>
      </c>
    </row>
    <row r="384" spans="2:8" x14ac:dyDescent="0.3">
      <c r="B384" t="s">
        <v>395</v>
      </c>
      <c r="C384" t="s">
        <v>1028</v>
      </c>
      <c r="D384" t="s">
        <v>8</v>
      </c>
      <c r="E384">
        <v>1</v>
      </c>
      <c r="F384" t="str">
        <f>+CHOOSE(Tbl_2021[[#This Row],[Type of Service]],"PEST","Disinfe","Rodent","Bird","Termite")</f>
        <v>PEST</v>
      </c>
      <c r="G384">
        <v>22</v>
      </c>
      <c r="H384" s="4">
        <f>+CHOOSE(Tbl_2021[[#This Row],[Type of Service]],2020,3500,3200,4100,5300)*Tbl_2021[[#This Row],[No of Visits]]</f>
        <v>44440</v>
      </c>
    </row>
    <row r="385" spans="2:8" x14ac:dyDescent="0.3">
      <c r="B385" t="s">
        <v>396</v>
      </c>
      <c r="C385" t="s">
        <v>1029</v>
      </c>
      <c r="D385" t="s">
        <v>10</v>
      </c>
      <c r="E385">
        <v>4</v>
      </c>
      <c r="F385" t="str">
        <f>+CHOOSE(Tbl_2021[[#This Row],[Type of Service]],"PEST","Disinfe","Rodent","Bird","Termite")</f>
        <v>Bird</v>
      </c>
      <c r="G385">
        <v>19</v>
      </c>
      <c r="H385" s="4">
        <f>+CHOOSE(Tbl_2021[[#This Row],[Type of Service]],2020,3500,3200,4100,5300)*Tbl_2021[[#This Row],[No of Visits]]</f>
        <v>77900</v>
      </c>
    </row>
    <row r="386" spans="2:8" x14ac:dyDescent="0.3">
      <c r="B386" t="s">
        <v>397</v>
      </c>
      <c r="C386" t="s">
        <v>1030</v>
      </c>
      <c r="D386" t="s">
        <v>12</v>
      </c>
      <c r="E386">
        <v>4</v>
      </c>
      <c r="F386" t="str">
        <f>+CHOOSE(Tbl_2021[[#This Row],[Type of Service]],"PEST","Disinfe","Rodent","Bird","Termite")</f>
        <v>Bird</v>
      </c>
      <c r="G386">
        <v>2</v>
      </c>
      <c r="H386" s="4">
        <f>+CHOOSE(Tbl_2021[[#This Row],[Type of Service]],2020,3500,3200,4100,5300)*Tbl_2021[[#This Row],[No of Visits]]</f>
        <v>8200</v>
      </c>
    </row>
    <row r="387" spans="2:8" x14ac:dyDescent="0.3">
      <c r="B387" t="s">
        <v>398</v>
      </c>
      <c r="C387" t="s">
        <v>1031</v>
      </c>
      <c r="D387" t="s">
        <v>14</v>
      </c>
      <c r="E387">
        <v>2</v>
      </c>
      <c r="F387" t="str">
        <f>+CHOOSE(Tbl_2021[[#This Row],[Type of Service]],"PEST","Disinfe","Rodent","Bird","Termite")</f>
        <v>Disinfe</v>
      </c>
      <c r="G387">
        <v>26</v>
      </c>
      <c r="H387" s="4">
        <f>+CHOOSE(Tbl_2021[[#This Row],[Type of Service]],2020,3500,3200,4100,5300)*Tbl_2021[[#This Row],[No of Visits]]</f>
        <v>91000</v>
      </c>
    </row>
    <row r="388" spans="2:8" x14ac:dyDescent="0.3">
      <c r="B388" t="s">
        <v>399</v>
      </c>
      <c r="C388" t="s">
        <v>1032</v>
      </c>
      <c r="D388" t="s">
        <v>16</v>
      </c>
      <c r="E388">
        <v>4</v>
      </c>
      <c r="F388" t="str">
        <f>+CHOOSE(Tbl_2021[[#This Row],[Type of Service]],"PEST","Disinfe","Rodent","Bird","Termite")</f>
        <v>Bird</v>
      </c>
      <c r="G388">
        <v>6</v>
      </c>
      <c r="H388" s="4">
        <f>+CHOOSE(Tbl_2021[[#This Row],[Type of Service]],2020,3500,3200,4100,5300)*Tbl_2021[[#This Row],[No of Visits]]</f>
        <v>24600</v>
      </c>
    </row>
    <row r="389" spans="2:8" x14ac:dyDescent="0.3">
      <c r="B389" t="s">
        <v>400</v>
      </c>
      <c r="C389" t="s">
        <v>1033</v>
      </c>
      <c r="D389" t="s">
        <v>4</v>
      </c>
      <c r="E389">
        <v>5</v>
      </c>
      <c r="F389" t="str">
        <f>+CHOOSE(Tbl_2021[[#This Row],[Type of Service]],"PEST","Disinfe","Rodent","Bird","Termite")</f>
        <v>Termite</v>
      </c>
      <c r="G389">
        <v>5</v>
      </c>
      <c r="H389" s="4">
        <f>+CHOOSE(Tbl_2021[[#This Row],[Type of Service]],2020,3500,3200,4100,5300)*Tbl_2021[[#This Row],[No of Visits]]</f>
        <v>26500</v>
      </c>
    </row>
    <row r="390" spans="2:8" x14ac:dyDescent="0.3">
      <c r="B390" t="s">
        <v>401</v>
      </c>
      <c r="C390" t="s">
        <v>735</v>
      </c>
      <c r="D390" t="s">
        <v>6</v>
      </c>
      <c r="E390">
        <v>4</v>
      </c>
      <c r="F390" t="str">
        <f>+CHOOSE(Tbl_2021[[#This Row],[Type of Service]],"PEST","Disinfe","Rodent","Bird","Termite")</f>
        <v>Bird</v>
      </c>
      <c r="G390">
        <v>7</v>
      </c>
      <c r="H390" s="4">
        <f>+CHOOSE(Tbl_2021[[#This Row],[Type of Service]],2020,3500,3200,4100,5300)*Tbl_2021[[#This Row],[No of Visits]]</f>
        <v>28700</v>
      </c>
    </row>
    <row r="391" spans="2:8" x14ac:dyDescent="0.3">
      <c r="B391" t="s">
        <v>402</v>
      </c>
      <c r="C391" t="s">
        <v>827</v>
      </c>
      <c r="D391" t="s">
        <v>8</v>
      </c>
      <c r="E391">
        <v>2</v>
      </c>
      <c r="F391" t="str">
        <f>+CHOOSE(Tbl_2021[[#This Row],[Type of Service]],"PEST","Disinfe","Rodent","Bird","Termite")</f>
        <v>Disinfe</v>
      </c>
      <c r="G391">
        <v>8</v>
      </c>
      <c r="H391" s="4">
        <f>+CHOOSE(Tbl_2021[[#This Row],[Type of Service]],2020,3500,3200,4100,5300)*Tbl_2021[[#This Row],[No of Visits]]</f>
        <v>28000</v>
      </c>
    </row>
    <row r="392" spans="2:8" x14ac:dyDescent="0.3">
      <c r="B392" t="s">
        <v>403</v>
      </c>
      <c r="C392" t="s">
        <v>965</v>
      </c>
      <c r="D392" t="s">
        <v>10</v>
      </c>
      <c r="E392">
        <v>1</v>
      </c>
      <c r="F392" t="str">
        <f>+CHOOSE(Tbl_2021[[#This Row],[Type of Service]],"PEST","Disinfe","Rodent","Bird","Termite")</f>
        <v>PEST</v>
      </c>
      <c r="G392">
        <v>7</v>
      </c>
      <c r="H392" s="4">
        <f>+CHOOSE(Tbl_2021[[#This Row],[Type of Service]],2020,3500,3200,4100,5300)*Tbl_2021[[#This Row],[No of Visits]]</f>
        <v>14140</v>
      </c>
    </row>
    <row r="393" spans="2:8" x14ac:dyDescent="0.3">
      <c r="B393" t="s">
        <v>404</v>
      </c>
      <c r="C393" t="s">
        <v>1034</v>
      </c>
      <c r="D393" t="s">
        <v>12</v>
      </c>
      <c r="E393">
        <v>1</v>
      </c>
      <c r="F393" t="str">
        <f>+CHOOSE(Tbl_2021[[#This Row],[Type of Service]],"PEST","Disinfe","Rodent","Bird","Termite")</f>
        <v>PEST</v>
      </c>
      <c r="G393">
        <v>30</v>
      </c>
      <c r="H393" s="4">
        <f>+CHOOSE(Tbl_2021[[#This Row],[Type of Service]],2020,3500,3200,4100,5300)*Tbl_2021[[#This Row],[No of Visits]]</f>
        <v>60600</v>
      </c>
    </row>
    <row r="394" spans="2:8" x14ac:dyDescent="0.3">
      <c r="B394" t="s">
        <v>405</v>
      </c>
      <c r="C394" t="s">
        <v>1035</v>
      </c>
      <c r="D394" t="s">
        <v>14</v>
      </c>
      <c r="E394">
        <v>1</v>
      </c>
      <c r="F394" t="str">
        <f>+CHOOSE(Tbl_2021[[#This Row],[Type of Service]],"PEST","Disinfe","Rodent","Bird","Termite")</f>
        <v>PEST</v>
      </c>
      <c r="G394">
        <v>18</v>
      </c>
      <c r="H394" s="4">
        <f>+CHOOSE(Tbl_2021[[#This Row],[Type of Service]],2020,3500,3200,4100,5300)*Tbl_2021[[#This Row],[No of Visits]]</f>
        <v>36360</v>
      </c>
    </row>
    <row r="395" spans="2:8" x14ac:dyDescent="0.3">
      <c r="B395" t="s">
        <v>406</v>
      </c>
      <c r="C395" t="s">
        <v>819</v>
      </c>
      <c r="D395" t="s">
        <v>16</v>
      </c>
      <c r="E395">
        <v>5</v>
      </c>
      <c r="F395" t="str">
        <f>+CHOOSE(Tbl_2021[[#This Row],[Type of Service]],"PEST","Disinfe","Rodent","Bird","Termite")</f>
        <v>Termite</v>
      </c>
      <c r="G395">
        <v>27</v>
      </c>
      <c r="H395" s="4">
        <f>+CHOOSE(Tbl_2021[[#This Row],[Type of Service]],2020,3500,3200,4100,5300)*Tbl_2021[[#This Row],[No of Visits]]</f>
        <v>143100</v>
      </c>
    </row>
    <row r="396" spans="2:8" x14ac:dyDescent="0.3">
      <c r="B396" t="s">
        <v>407</v>
      </c>
      <c r="C396" t="s">
        <v>1036</v>
      </c>
      <c r="D396" t="s">
        <v>4</v>
      </c>
      <c r="E396">
        <v>4</v>
      </c>
      <c r="F396" t="str">
        <f>+CHOOSE(Tbl_2021[[#This Row],[Type of Service]],"PEST","Disinfe","Rodent","Bird","Termite")</f>
        <v>Bird</v>
      </c>
      <c r="G396">
        <v>9</v>
      </c>
      <c r="H396" s="4">
        <f>+CHOOSE(Tbl_2021[[#This Row],[Type of Service]],2020,3500,3200,4100,5300)*Tbl_2021[[#This Row],[No of Visits]]</f>
        <v>36900</v>
      </c>
    </row>
    <row r="397" spans="2:8" x14ac:dyDescent="0.3">
      <c r="B397" t="s">
        <v>408</v>
      </c>
      <c r="C397" t="s">
        <v>916</v>
      </c>
      <c r="D397" t="s">
        <v>6</v>
      </c>
      <c r="E397">
        <v>1</v>
      </c>
      <c r="F397" t="str">
        <f>+CHOOSE(Tbl_2021[[#This Row],[Type of Service]],"PEST","Disinfe","Rodent","Bird","Termite")</f>
        <v>PEST</v>
      </c>
      <c r="G397">
        <v>6</v>
      </c>
      <c r="H397" s="4">
        <f>+CHOOSE(Tbl_2021[[#This Row],[Type of Service]],2020,3500,3200,4100,5300)*Tbl_2021[[#This Row],[No of Visits]]</f>
        <v>12120</v>
      </c>
    </row>
    <row r="398" spans="2:8" x14ac:dyDescent="0.3">
      <c r="B398" t="s">
        <v>409</v>
      </c>
      <c r="C398" t="s">
        <v>1037</v>
      </c>
      <c r="D398" t="s">
        <v>8</v>
      </c>
      <c r="E398">
        <v>2</v>
      </c>
      <c r="F398" t="str">
        <f>+CHOOSE(Tbl_2021[[#This Row],[Type of Service]],"PEST","Disinfe","Rodent","Bird","Termite")</f>
        <v>Disinfe</v>
      </c>
      <c r="G398">
        <v>33</v>
      </c>
      <c r="H398" s="4">
        <f>+CHOOSE(Tbl_2021[[#This Row],[Type of Service]],2020,3500,3200,4100,5300)*Tbl_2021[[#This Row],[No of Visits]]</f>
        <v>115500</v>
      </c>
    </row>
    <row r="399" spans="2:8" x14ac:dyDescent="0.3">
      <c r="B399" t="s">
        <v>410</v>
      </c>
      <c r="C399" t="s">
        <v>1038</v>
      </c>
      <c r="D399" t="s">
        <v>10</v>
      </c>
      <c r="E399">
        <v>4</v>
      </c>
      <c r="F399" t="str">
        <f>+CHOOSE(Tbl_2021[[#This Row],[Type of Service]],"PEST","Disinfe","Rodent","Bird","Termite")</f>
        <v>Bird</v>
      </c>
      <c r="G399">
        <v>32</v>
      </c>
      <c r="H399" s="4">
        <f>+CHOOSE(Tbl_2021[[#This Row],[Type of Service]],2020,3500,3200,4100,5300)*Tbl_2021[[#This Row],[No of Visits]]</f>
        <v>131200</v>
      </c>
    </row>
    <row r="400" spans="2:8" x14ac:dyDescent="0.3">
      <c r="B400" t="s">
        <v>411</v>
      </c>
      <c r="C400" t="s">
        <v>1039</v>
      </c>
      <c r="D400" t="s">
        <v>12</v>
      </c>
      <c r="E400">
        <v>4</v>
      </c>
      <c r="F400" t="str">
        <f>+CHOOSE(Tbl_2021[[#This Row],[Type of Service]],"PEST","Disinfe","Rodent","Bird","Termite")</f>
        <v>Bird</v>
      </c>
      <c r="G400">
        <v>25</v>
      </c>
      <c r="H400" s="4">
        <f>+CHOOSE(Tbl_2021[[#This Row],[Type of Service]],2020,3500,3200,4100,5300)*Tbl_2021[[#This Row],[No of Visits]]</f>
        <v>102500</v>
      </c>
    </row>
    <row r="401" spans="2:8" x14ac:dyDescent="0.3">
      <c r="B401" t="s">
        <v>412</v>
      </c>
      <c r="C401" t="s">
        <v>1040</v>
      </c>
      <c r="D401" t="s">
        <v>14</v>
      </c>
      <c r="E401">
        <v>5</v>
      </c>
      <c r="F401" t="str">
        <f>+CHOOSE(Tbl_2021[[#This Row],[Type of Service]],"PEST","Disinfe","Rodent","Bird","Termite")</f>
        <v>Termite</v>
      </c>
      <c r="G401">
        <v>24</v>
      </c>
      <c r="H401" s="4">
        <f>+CHOOSE(Tbl_2021[[#This Row],[Type of Service]],2020,3500,3200,4100,5300)*Tbl_2021[[#This Row],[No of Visits]]</f>
        <v>127200</v>
      </c>
    </row>
    <row r="402" spans="2:8" x14ac:dyDescent="0.3">
      <c r="B402" t="s">
        <v>413</v>
      </c>
      <c r="C402" t="s">
        <v>1041</v>
      </c>
      <c r="D402" t="s">
        <v>16</v>
      </c>
      <c r="E402">
        <v>2</v>
      </c>
      <c r="F402" t="str">
        <f>+CHOOSE(Tbl_2021[[#This Row],[Type of Service]],"PEST","Disinfe","Rodent","Bird","Termite")</f>
        <v>Disinfe</v>
      </c>
      <c r="G402">
        <v>19</v>
      </c>
      <c r="H402" s="4">
        <f>+CHOOSE(Tbl_2021[[#This Row],[Type of Service]],2020,3500,3200,4100,5300)*Tbl_2021[[#This Row],[No of Visits]]</f>
        <v>66500</v>
      </c>
    </row>
    <row r="403" spans="2:8" x14ac:dyDescent="0.3">
      <c r="B403" t="s">
        <v>414</v>
      </c>
      <c r="C403" t="s">
        <v>1042</v>
      </c>
      <c r="D403" t="s">
        <v>4</v>
      </c>
      <c r="E403">
        <v>5</v>
      </c>
      <c r="F403" t="str">
        <f>+CHOOSE(Tbl_2021[[#This Row],[Type of Service]],"PEST","Disinfe","Rodent","Bird","Termite")</f>
        <v>Termite</v>
      </c>
      <c r="G403">
        <v>24</v>
      </c>
      <c r="H403" s="4">
        <f>+CHOOSE(Tbl_2021[[#This Row],[Type of Service]],2020,3500,3200,4100,5300)*Tbl_2021[[#This Row],[No of Visits]]</f>
        <v>127200</v>
      </c>
    </row>
    <row r="404" spans="2:8" x14ac:dyDescent="0.3">
      <c r="B404" t="s">
        <v>415</v>
      </c>
      <c r="C404" t="s">
        <v>815</v>
      </c>
      <c r="D404" t="s">
        <v>6</v>
      </c>
      <c r="E404">
        <v>4</v>
      </c>
      <c r="F404" t="str">
        <f>+CHOOSE(Tbl_2021[[#This Row],[Type of Service]],"PEST","Disinfe","Rodent","Bird","Termite")</f>
        <v>Bird</v>
      </c>
      <c r="G404">
        <v>30</v>
      </c>
      <c r="H404" s="4">
        <f>+CHOOSE(Tbl_2021[[#This Row],[Type of Service]],2020,3500,3200,4100,5300)*Tbl_2021[[#This Row],[No of Visits]]</f>
        <v>123000</v>
      </c>
    </row>
    <row r="405" spans="2:8" x14ac:dyDescent="0.3">
      <c r="B405" t="s">
        <v>416</v>
      </c>
      <c r="C405" t="s">
        <v>1043</v>
      </c>
      <c r="D405" t="s">
        <v>8</v>
      </c>
      <c r="E405">
        <v>4</v>
      </c>
      <c r="F405" t="str">
        <f>+CHOOSE(Tbl_2021[[#This Row],[Type of Service]],"PEST","Disinfe","Rodent","Bird","Termite")</f>
        <v>Bird</v>
      </c>
      <c r="G405">
        <v>8</v>
      </c>
      <c r="H405" s="4">
        <f>+CHOOSE(Tbl_2021[[#This Row],[Type of Service]],2020,3500,3200,4100,5300)*Tbl_2021[[#This Row],[No of Visits]]</f>
        <v>32800</v>
      </c>
    </row>
    <row r="406" spans="2:8" x14ac:dyDescent="0.3">
      <c r="B406" t="s">
        <v>417</v>
      </c>
      <c r="C406" t="s">
        <v>1044</v>
      </c>
      <c r="D406" t="s">
        <v>10</v>
      </c>
      <c r="E406">
        <v>4</v>
      </c>
      <c r="F406" t="str">
        <f>+CHOOSE(Tbl_2021[[#This Row],[Type of Service]],"PEST","Disinfe","Rodent","Bird","Termite")</f>
        <v>Bird</v>
      </c>
      <c r="G406">
        <v>2</v>
      </c>
      <c r="H406" s="4">
        <f>+CHOOSE(Tbl_2021[[#This Row],[Type of Service]],2020,3500,3200,4100,5300)*Tbl_2021[[#This Row],[No of Visits]]</f>
        <v>8200</v>
      </c>
    </row>
    <row r="407" spans="2:8" x14ac:dyDescent="0.3">
      <c r="B407" t="s">
        <v>418</v>
      </c>
      <c r="C407" t="s">
        <v>1045</v>
      </c>
      <c r="D407" t="s">
        <v>12</v>
      </c>
      <c r="E407">
        <v>4</v>
      </c>
      <c r="F407" t="str">
        <f>+CHOOSE(Tbl_2021[[#This Row],[Type of Service]],"PEST","Disinfe","Rodent","Bird","Termite")</f>
        <v>Bird</v>
      </c>
      <c r="G407">
        <v>10</v>
      </c>
      <c r="H407" s="4">
        <f>+CHOOSE(Tbl_2021[[#This Row],[Type of Service]],2020,3500,3200,4100,5300)*Tbl_2021[[#This Row],[No of Visits]]</f>
        <v>41000</v>
      </c>
    </row>
    <row r="408" spans="2:8" x14ac:dyDescent="0.3">
      <c r="B408" t="s">
        <v>419</v>
      </c>
      <c r="C408" t="s">
        <v>1046</v>
      </c>
      <c r="D408" t="s">
        <v>14</v>
      </c>
      <c r="E408">
        <v>2</v>
      </c>
      <c r="F408" t="str">
        <f>+CHOOSE(Tbl_2021[[#This Row],[Type of Service]],"PEST","Disinfe","Rodent","Bird","Termite")</f>
        <v>Disinfe</v>
      </c>
      <c r="G408">
        <v>4</v>
      </c>
      <c r="H408" s="4">
        <f>+CHOOSE(Tbl_2021[[#This Row],[Type of Service]],2020,3500,3200,4100,5300)*Tbl_2021[[#This Row],[No of Visits]]</f>
        <v>14000</v>
      </c>
    </row>
    <row r="409" spans="2:8" x14ac:dyDescent="0.3">
      <c r="B409" t="s">
        <v>420</v>
      </c>
      <c r="C409" t="s">
        <v>1047</v>
      </c>
      <c r="D409" t="s">
        <v>16</v>
      </c>
      <c r="E409">
        <v>4</v>
      </c>
      <c r="F409" t="str">
        <f>+CHOOSE(Tbl_2021[[#This Row],[Type of Service]],"PEST","Disinfe","Rodent","Bird","Termite")</f>
        <v>Bird</v>
      </c>
      <c r="G409">
        <v>34</v>
      </c>
      <c r="H409" s="4">
        <f>+CHOOSE(Tbl_2021[[#This Row],[Type of Service]],2020,3500,3200,4100,5300)*Tbl_2021[[#This Row],[No of Visits]]</f>
        <v>139400</v>
      </c>
    </row>
    <row r="410" spans="2:8" x14ac:dyDescent="0.3">
      <c r="B410" t="s">
        <v>421</v>
      </c>
      <c r="C410" t="s">
        <v>1048</v>
      </c>
      <c r="D410" t="s">
        <v>4</v>
      </c>
      <c r="E410">
        <v>4</v>
      </c>
      <c r="F410" t="str">
        <f>+CHOOSE(Tbl_2021[[#This Row],[Type of Service]],"PEST","Disinfe","Rodent","Bird","Termite")</f>
        <v>Bird</v>
      </c>
      <c r="G410">
        <v>2</v>
      </c>
      <c r="H410" s="4">
        <f>+CHOOSE(Tbl_2021[[#This Row],[Type of Service]],2020,3500,3200,4100,5300)*Tbl_2021[[#This Row],[No of Visits]]</f>
        <v>8200</v>
      </c>
    </row>
    <row r="411" spans="2:8" x14ac:dyDescent="0.3">
      <c r="B411" t="s">
        <v>422</v>
      </c>
      <c r="C411" t="s">
        <v>1049</v>
      </c>
      <c r="D411" t="s">
        <v>6</v>
      </c>
      <c r="E411">
        <v>5</v>
      </c>
      <c r="F411" t="str">
        <f>+CHOOSE(Tbl_2021[[#This Row],[Type of Service]],"PEST","Disinfe","Rodent","Bird","Termite")</f>
        <v>Termite</v>
      </c>
      <c r="G411">
        <v>18</v>
      </c>
      <c r="H411" s="4">
        <f>+CHOOSE(Tbl_2021[[#This Row],[Type of Service]],2020,3500,3200,4100,5300)*Tbl_2021[[#This Row],[No of Visits]]</f>
        <v>95400</v>
      </c>
    </row>
    <row r="412" spans="2:8" x14ac:dyDescent="0.3">
      <c r="B412" t="s">
        <v>423</v>
      </c>
      <c r="C412" t="s">
        <v>1050</v>
      </c>
      <c r="D412" t="s">
        <v>8</v>
      </c>
      <c r="E412">
        <v>5</v>
      </c>
      <c r="F412" t="str">
        <f>+CHOOSE(Tbl_2021[[#This Row],[Type of Service]],"PEST","Disinfe","Rodent","Bird","Termite")</f>
        <v>Termite</v>
      </c>
      <c r="G412">
        <v>4</v>
      </c>
      <c r="H412" s="4">
        <f>+CHOOSE(Tbl_2021[[#This Row],[Type of Service]],2020,3500,3200,4100,5300)*Tbl_2021[[#This Row],[No of Visits]]</f>
        <v>21200</v>
      </c>
    </row>
    <row r="413" spans="2:8" x14ac:dyDescent="0.3">
      <c r="B413" t="s">
        <v>424</v>
      </c>
      <c r="C413" t="s">
        <v>1051</v>
      </c>
      <c r="D413" t="s">
        <v>10</v>
      </c>
      <c r="E413">
        <v>1</v>
      </c>
      <c r="F413" t="str">
        <f>+CHOOSE(Tbl_2021[[#This Row],[Type of Service]],"PEST","Disinfe","Rodent","Bird","Termite")</f>
        <v>PEST</v>
      </c>
      <c r="G413">
        <v>16</v>
      </c>
      <c r="H413" s="4">
        <f>+CHOOSE(Tbl_2021[[#This Row],[Type of Service]],2020,3500,3200,4100,5300)*Tbl_2021[[#This Row],[No of Visits]]</f>
        <v>32320</v>
      </c>
    </row>
    <row r="414" spans="2:8" x14ac:dyDescent="0.3">
      <c r="B414" t="s">
        <v>425</v>
      </c>
      <c r="C414" t="s">
        <v>1052</v>
      </c>
      <c r="D414" t="s">
        <v>12</v>
      </c>
      <c r="E414">
        <v>2</v>
      </c>
      <c r="F414" t="str">
        <f>+CHOOSE(Tbl_2021[[#This Row],[Type of Service]],"PEST","Disinfe","Rodent","Bird","Termite")</f>
        <v>Disinfe</v>
      </c>
      <c r="G414">
        <v>32</v>
      </c>
      <c r="H414" s="4">
        <f>+CHOOSE(Tbl_2021[[#This Row],[Type of Service]],2020,3500,3200,4100,5300)*Tbl_2021[[#This Row],[No of Visits]]</f>
        <v>112000</v>
      </c>
    </row>
    <row r="415" spans="2:8" x14ac:dyDescent="0.3">
      <c r="B415" t="s">
        <v>426</v>
      </c>
      <c r="C415" t="s">
        <v>1053</v>
      </c>
      <c r="D415" t="s">
        <v>14</v>
      </c>
      <c r="E415">
        <v>1</v>
      </c>
      <c r="F415" t="str">
        <f>+CHOOSE(Tbl_2021[[#This Row],[Type of Service]],"PEST","Disinfe","Rodent","Bird","Termite")</f>
        <v>PEST</v>
      </c>
      <c r="G415">
        <v>18</v>
      </c>
      <c r="H415" s="4">
        <f>+CHOOSE(Tbl_2021[[#This Row],[Type of Service]],2020,3500,3200,4100,5300)*Tbl_2021[[#This Row],[No of Visits]]</f>
        <v>36360</v>
      </c>
    </row>
    <row r="416" spans="2:8" x14ac:dyDescent="0.3">
      <c r="B416" t="s">
        <v>427</v>
      </c>
      <c r="C416" t="s">
        <v>1054</v>
      </c>
      <c r="D416" t="s">
        <v>16</v>
      </c>
      <c r="E416">
        <v>5</v>
      </c>
      <c r="F416" t="str">
        <f>+CHOOSE(Tbl_2021[[#This Row],[Type of Service]],"PEST","Disinfe","Rodent","Bird","Termite")</f>
        <v>Termite</v>
      </c>
      <c r="G416">
        <v>20</v>
      </c>
      <c r="H416" s="4">
        <f>+CHOOSE(Tbl_2021[[#This Row],[Type of Service]],2020,3500,3200,4100,5300)*Tbl_2021[[#This Row],[No of Visits]]</f>
        <v>106000</v>
      </c>
    </row>
    <row r="417" spans="2:8" x14ac:dyDescent="0.3">
      <c r="B417" t="s">
        <v>428</v>
      </c>
      <c r="C417" t="s">
        <v>1055</v>
      </c>
      <c r="D417" t="s">
        <v>4</v>
      </c>
      <c r="E417">
        <v>5</v>
      </c>
      <c r="F417" t="str">
        <f>+CHOOSE(Tbl_2021[[#This Row],[Type of Service]],"PEST","Disinfe","Rodent","Bird","Termite")</f>
        <v>Termite</v>
      </c>
      <c r="G417">
        <v>30</v>
      </c>
      <c r="H417" s="4">
        <f>+CHOOSE(Tbl_2021[[#This Row],[Type of Service]],2020,3500,3200,4100,5300)*Tbl_2021[[#This Row],[No of Visits]]</f>
        <v>159000</v>
      </c>
    </row>
    <row r="418" spans="2:8" x14ac:dyDescent="0.3">
      <c r="B418" t="s">
        <v>429</v>
      </c>
      <c r="C418" t="s">
        <v>1056</v>
      </c>
      <c r="D418" t="s">
        <v>6</v>
      </c>
      <c r="E418">
        <v>5</v>
      </c>
      <c r="F418" t="str">
        <f>+CHOOSE(Tbl_2021[[#This Row],[Type of Service]],"PEST","Disinfe","Rodent","Bird","Termite")</f>
        <v>Termite</v>
      </c>
      <c r="G418">
        <v>20</v>
      </c>
      <c r="H418" s="4">
        <f>+CHOOSE(Tbl_2021[[#This Row],[Type of Service]],2020,3500,3200,4100,5300)*Tbl_2021[[#This Row],[No of Visits]]</f>
        <v>106000</v>
      </c>
    </row>
    <row r="419" spans="2:8" x14ac:dyDescent="0.3">
      <c r="B419" t="s">
        <v>430</v>
      </c>
      <c r="C419" t="s">
        <v>1057</v>
      </c>
      <c r="D419" t="s">
        <v>8</v>
      </c>
      <c r="E419">
        <v>2</v>
      </c>
      <c r="F419" t="str">
        <f>+CHOOSE(Tbl_2021[[#This Row],[Type of Service]],"PEST","Disinfe","Rodent","Bird","Termite")</f>
        <v>Disinfe</v>
      </c>
      <c r="G419">
        <v>31</v>
      </c>
      <c r="H419" s="4">
        <f>+CHOOSE(Tbl_2021[[#This Row],[Type of Service]],2020,3500,3200,4100,5300)*Tbl_2021[[#This Row],[No of Visits]]</f>
        <v>108500</v>
      </c>
    </row>
    <row r="420" spans="2:8" x14ac:dyDescent="0.3">
      <c r="B420" t="s">
        <v>431</v>
      </c>
      <c r="C420" t="s">
        <v>1058</v>
      </c>
      <c r="D420" t="s">
        <v>10</v>
      </c>
      <c r="E420">
        <v>2</v>
      </c>
      <c r="F420" t="str">
        <f>+CHOOSE(Tbl_2021[[#This Row],[Type of Service]],"PEST","Disinfe","Rodent","Bird","Termite")</f>
        <v>Disinfe</v>
      </c>
      <c r="G420">
        <v>32</v>
      </c>
      <c r="H420" s="4">
        <f>+CHOOSE(Tbl_2021[[#This Row],[Type of Service]],2020,3500,3200,4100,5300)*Tbl_2021[[#This Row],[No of Visits]]</f>
        <v>112000</v>
      </c>
    </row>
    <row r="421" spans="2:8" x14ac:dyDescent="0.3">
      <c r="B421" t="s">
        <v>432</v>
      </c>
      <c r="C421" t="s">
        <v>1059</v>
      </c>
      <c r="D421" t="s">
        <v>12</v>
      </c>
      <c r="E421">
        <v>4</v>
      </c>
      <c r="F421" t="str">
        <f>+CHOOSE(Tbl_2021[[#This Row],[Type of Service]],"PEST","Disinfe","Rodent","Bird","Termite")</f>
        <v>Bird</v>
      </c>
      <c r="G421">
        <v>15</v>
      </c>
      <c r="H421" s="4">
        <f>+CHOOSE(Tbl_2021[[#This Row],[Type of Service]],2020,3500,3200,4100,5300)*Tbl_2021[[#This Row],[No of Visits]]</f>
        <v>61500</v>
      </c>
    </row>
    <row r="422" spans="2:8" x14ac:dyDescent="0.3">
      <c r="B422" t="s">
        <v>433</v>
      </c>
      <c r="C422" t="s">
        <v>1060</v>
      </c>
      <c r="D422" t="s">
        <v>14</v>
      </c>
      <c r="E422">
        <v>4</v>
      </c>
      <c r="F422" t="str">
        <f>+CHOOSE(Tbl_2021[[#This Row],[Type of Service]],"PEST","Disinfe","Rodent","Bird","Termite")</f>
        <v>Bird</v>
      </c>
      <c r="G422">
        <v>11</v>
      </c>
      <c r="H422" s="4">
        <f>+CHOOSE(Tbl_2021[[#This Row],[Type of Service]],2020,3500,3200,4100,5300)*Tbl_2021[[#This Row],[No of Visits]]</f>
        <v>45100</v>
      </c>
    </row>
    <row r="423" spans="2:8" x14ac:dyDescent="0.3">
      <c r="B423" t="s">
        <v>434</v>
      </c>
      <c r="C423" t="s">
        <v>762</v>
      </c>
      <c r="D423" t="s">
        <v>16</v>
      </c>
      <c r="E423">
        <v>1</v>
      </c>
      <c r="F423" t="str">
        <f>+CHOOSE(Tbl_2021[[#This Row],[Type of Service]],"PEST","Disinfe","Rodent","Bird","Termite")</f>
        <v>PEST</v>
      </c>
      <c r="G423">
        <v>36</v>
      </c>
      <c r="H423" s="4">
        <f>+CHOOSE(Tbl_2021[[#This Row],[Type of Service]],2020,3500,3200,4100,5300)*Tbl_2021[[#This Row],[No of Visits]]</f>
        <v>72720</v>
      </c>
    </row>
    <row r="424" spans="2:8" x14ac:dyDescent="0.3">
      <c r="B424" t="s">
        <v>435</v>
      </c>
      <c r="C424" t="s">
        <v>1061</v>
      </c>
      <c r="D424" t="s">
        <v>4</v>
      </c>
      <c r="E424">
        <v>4</v>
      </c>
      <c r="F424" t="str">
        <f>+CHOOSE(Tbl_2021[[#This Row],[Type of Service]],"PEST","Disinfe","Rodent","Bird","Termite")</f>
        <v>Bird</v>
      </c>
      <c r="G424">
        <v>25</v>
      </c>
      <c r="H424" s="4">
        <f>+CHOOSE(Tbl_2021[[#This Row],[Type of Service]],2020,3500,3200,4100,5300)*Tbl_2021[[#This Row],[No of Visits]]</f>
        <v>102500</v>
      </c>
    </row>
    <row r="425" spans="2:8" x14ac:dyDescent="0.3">
      <c r="B425" t="s">
        <v>436</v>
      </c>
      <c r="C425" t="s">
        <v>1062</v>
      </c>
      <c r="D425" t="s">
        <v>6</v>
      </c>
      <c r="E425">
        <v>4</v>
      </c>
      <c r="F425" t="str">
        <f>+CHOOSE(Tbl_2021[[#This Row],[Type of Service]],"PEST","Disinfe","Rodent","Bird","Termite")</f>
        <v>Bird</v>
      </c>
      <c r="G425">
        <v>2</v>
      </c>
      <c r="H425" s="4">
        <f>+CHOOSE(Tbl_2021[[#This Row],[Type of Service]],2020,3500,3200,4100,5300)*Tbl_2021[[#This Row],[No of Visits]]</f>
        <v>8200</v>
      </c>
    </row>
    <row r="426" spans="2:8" x14ac:dyDescent="0.3">
      <c r="B426" t="s">
        <v>437</v>
      </c>
      <c r="C426" t="s">
        <v>1063</v>
      </c>
      <c r="D426" t="s">
        <v>8</v>
      </c>
      <c r="E426">
        <v>2</v>
      </c>
      <c r="F426" t="str">
        <f>+CHOOSE(Tbl_2021[[#This Row],[Type of Service]],"PEST","Disinfe","Rodent","Bird","Termite")</f>
        <v>Disinfe</v>
      </c>
      <c r="G426">
        <v>10</v>
      </c>
      <c r="H426" s="4">
        <f>+CHOOSE(Tbl_2021[[#This Row],[Type of Service]],2020,3500,3200,4100,5300)*Tbl_2021[[#This Row],[No of Visits]]</f>
        <v>35000</v>
      </c>
    </row>
    <row r="427" spans="2:8" x14ac:dyDescent="0.3">
      <c r="B427" t="s">
        <v>438</v>
      </c>
      <c r="C427" t="s">
        <v>1063</v>
      </c>
      <c r="D427" t="s">
        <v>10</v>
      </c>
      <c r="E427">
        <v>4</v>
      </c>
      <c r="F427" t="str">
        <f>+CHOOSE(Tbl_2021[[#This Row],[Type of Service]],"PEST","Disinfe","Rodent","Bird","Termite")</f>
        <v>Bird</v>
      </c>
      <c r="G427">
        <v>36</v>
      </c>
      <c r="H427" s="4">
        <f>+CHOOSE(Tbl_2021[[#This Row],[Type of Service]],2020,3500,3200,4100,5300)*Tbl_2021[[#This Row],[No of Visits]]</f>
        <v>147600</v>
      </c>
    </row>
    <row r="428" spans="2:8" x14ac:dyDescent="0.3">
      <c r="B428" t="s">
        <v>439</v>
      </c>
      <c r="C428" t="s">
        <v>1064</v>
      </c>
      <c r="D428" t="s">
        <v>12</v>
      </c>
      <c r="E428">
        <v>1</v>
      </c>
      <c r="F428" t="str">
        <f>+CHOOSE(Tbl_2021[[#This Row],[Type of Service]],"PEST","Disinfe","Rodent","Bird","Termite")</f>
        <v>PEST</v>
      </c>
      <c r="G428">
        <v>35</v>
      </c>
      <c r="H428" s="4">
        <f>+CHOOSE(Tbl_2021[[#This Row],[Type of Service]],2020,3500,3200,4100,5300)*Tbl_2021[[#This Row],[No of Visits]]</f>
        <v>70700</v>
      </c>
    </row>
    <row r="429" spans="2:8" x14ac:dyDescent="0.3">
      <c r="B429" t="s">
        <v>440</v>
      </c>
      <c r="C429" t="s">
        <v>793</v>
      </c>
      <c r="D429" t="s">
        <v>14</v>
      </c>
      <c r="E429">
        <v>4</v>
      </c>
      <c r="F429" t="str">
        <f>+CHOOSE(Tbl_2021[[#This Row],[Type of Service]],"PEST","Disinfe","Rodent","Bird","Termite")</f>
        <v>Bird</v>
      </c>
      <c r="G429">
        <v>33</v>
      </c>
      <c r="H429" s="4">
        <f>+CHOOSE(Tbl_2021[[#This Row],[Type of Service]],2020,3500,3200,4100,5300)*Tbl_2021[[#This Row],[No of Visits]]</f>
        <v>135300</v>
      </c>
    </row>
    <row r="430" spans="2:8" x14ac:dyDescent="0.3">
      <c r="B430" t="s">
        <v>441</v>
      </c>
      <c r="C430" t="s">
        <v>1065</v>
      </c>
      <c r="D430" t="s">
        <v>16</v>
      </c>
      <c r="E430">
        <v>1</v>
      </c>
      <c r="F430" t="str">
        <f>+CHOOSE(Tbl_2021[[#This Row],[Type of Service]],"PEST","Disinfe","Rodent","Bird","Termite")</f>
        <v>PEST</v>
      </c>
      <c r="G430">
        <v>7</v>
      </c>
      <c r="H430" s="4">
        <f>+CHOOSE(Tbl_2021[[#This Row],[Type of Service]],2020,3500,3200,4100,5300)*Tbl_2021[[#This Row],[No of Visits]]</f>
        <v>14140</v>
      </c>
    </row>
    <row r="431" spans="2:8" x14ac:dyDescent="0.3">
      <c r="B431" t="s">
        <v>442</v>
      </c>
      <c r="C431" t="s">
        <v>1066</v>
      </c>
      <c r="D431" t="s">
        <v>4</v>
      </c>
      <c r="E431">
        <v>2</v>
      </c>
      <c r="F431" t="str">
        <f>+CHOOSE(Tbl_2021[[#This Row],[Type of Service]],"PEST","Disinfe","Rodent","Bird","Termite")</f>
        <v>Disinfe</v>
      </c>
      <c r="G431">
        <v>11</v>
      </c>
      <c r="H431" s="4">
        <f>+CHOOSE(Tbl_2021[[#This Row],[Type of Service]],2020,3500,3200,4100,5300)*Tbl_2021[[#This Row],[No of Visits]]</f>
        <v>38500</v>
      </c>
    </row>
    <row r="432" spans="2:8" x14ac:dyDescent="0.3">
      <c r="B432" t="s">
        <v>443</v>
      </c>
      <c r="C432" t="s">
        <v>966</v>
      </c>
      <c r="D432" t="s">
        <v>6</v>
      </c>
      <c r="E432">
        <v>2</v>
      </c>
      <c r="F432" t="str">
        <f>+CHOOSE(Tbl_2021[[#This Row],[Type of Service]],"PEST","Disinfe","Rodent","Bird","Termite")</f>
        <v>Disinfe</v>
      </c>
      <c r="G432">
        <v>4</v>
      </c>
      <c r="H432" s="4">
        <f>+CHOOSE(Tbl_2021[[#This Row],[Type of Service]],2020,3500,3200,4100,5300)*Tbl_2021[[#This Row],[No of Visits]]</f>
        <v>14000</v>
      </c>
    </row>
    <row r="433" spans="2:8" x14ac:dyDescent="0.3">
      <c r="B433" t="s">
        <v>444</v>
      </c>
      <c r="C433" t="s">
        <v>1067</v>
      </c>
      <c r="D433" t="s">
        <v>8</v>
      </c>
      <c r="E433">
        <v>2</v>
      </c>
      <c r="F433" t="str">
        <f>+CHOOSE(Tbl_2021[[#This Row],[Type of Service]],"PEST","Disinfe","Rodent","Bird","Termite")</f>
        <v>Disinfe</v>
      </c>
      <c r="G433">
        <v>24</v>
      </c>
      <c r="H433" s="4">
        <f>+CHOOSE(Tbl_2021[[#This Row],[Type of Service]],2020,3500,3200,4100,5300)*Tbl_2021[[#This Row],[No of Visits]]</f>
        <v>84000</v>
      </c>
    </row>
    <row r="434" spans="2:8" x14ac:dyDescent="0.3">
      <c r="B434" t="s">
        <v>445</v>
      </c>
      <c r="C434" t="s">
        <v>1068</v>
      </c>
      <c r="D434" t="s">
        <v>10</v>
      </c>
      <c r="E434">
        <v>5</v>
      </c>
      <c r="F434" t="str">
        <f>+CHOOSE(Tbl_2021[[#This Row],[Type of Service]],"PEST","Disinfe","Rodent","Bird","Termite")</f>
        <v>Termite</v>
      </c>
      <c r="G434">
        <v>23</v>
      </c>
      <c r="H434" s="4">
        <f>+CHOOSE(Tbl_2021[[#This Row],[Type of Service]],2020,3500,3200,4100,5300)*Tbl_2021[[#This Row],[No of Visits]]</f>
        <v>121900</v>
      </c>
    </row>
    <row r="435" spans="2:8" x14ac:dyDescent="0.3">
      <c r="B435" t="s">
        <v>446</v>
      </c>
      <c r="C435" t="s">
        <v>1069</v>
      </c>
      <c r="D435" t="s">
        <v>12</v>
      </c>
      <c r="E435">
        <v>1</v>
      </c>
      <c r="F435" t="str">
        <f>+CHOOSE(Tbl_2021[[#This Row],[Type of Service]],"PEST","Disinfe","Rodent","Bird","Termite")</f>
        <v>PEST</v>
      </c>
      <c r="G435">
        <v>6</v>
      </c>
      <c r="H435" s="4">
        <f>+CHOOSE(Tbl_2021[[#This Row],[Type of Service]],2020,3500,3200,4100,5300)*Tbl_2021[[#This Row],[No of Visits]]</f>
        <v>12120</v>
      </c>
    </row>
    <row r="436" spans="2:8" x14ac:dyDescent="0.3">
      <c r="B436" t="s">
        <v>447</v>
      </c>
      <c r="C436" t="s">
        <v>1070</v>
      </c>
      <c r="D436" t="s">
        <v>14</v>
      </c>
      <c r="E436">
        <v>2</v>
      </c>
      <c r="F436" t="str">
        <f>+CHOOSE(Tbl_2021[[#This Row],[Type of Service]],"PEST","Disinfe","Rodent","Bird","Termite")</f>
        <v>Disinfe</v>
      </c>
      <c r="G436">
        <v>32</v>
      </c>
      <c r="H436" s="4">
        <f>+CHOOSE(Tbl_2021[[#This Row],[Type of Service]],2020,3500,3200,4100,5300)*Tbl_2021[[#This Row],[No of Visits]]</f>
        <v>112000</v>
      </c>
    </row>
    <row r="437" spans="2:8" x14ac:dyDescent="0.3">
      <c r="B437" t="s">
        <v>448</v>
      </c>
      <c r="C437" t="s">
        <v>1071</v>
      </c>
      <c r="D437" t="s">
        <v>16</v>
      </c>
      <c r="E437">
        <v>1</v>
      </c>
      <c r="F437" t="str">
        <f>+CHOOSE(Tbl_2021[[#This Row],[Type of Service]],"PEST","Disinfe","Rodent","Bird","Termite")</f>
        <v>PEST</v>
      </c>
      <c r="G437">
        <v>8</v>
      </c>
      <c r="H437" s="4">
        <f>+CHOOSE(Tbl_2021[[#This Row],[Type of Service]],2020,3500,3200,4100,5300)*Tbl_2021[[#This Row],[No of Visits]]</f>
        <v>16160</v>
      </c>
    </row>
    <row r="438" spans="2:8" x14ac:dyDescent="0.3">
      <c r="B438" t="s">
        <v>449</v>
      </c>
      <c r="C438" t="s">
        <v>1072</v>
      </c>
      <c r="D438" t="s">
        <v>4</v>
      </c>
      <c r="E438">
        <v>1</v>
      </c>
      <c r="F438" t="str">
        <f>+CHOOSE(Tbl_2021[[#This Row],[Type of Service]],"PEST","Disinfe","Rodent","Bird","Termite")</f>
        <v>PEST</v>
      </c>
      <c r="G438">
        <v>1</v>
      </c>
      <c r="H438" s="4">
        <f>+CHOOSE(Tbl_2021[[#This Row],[Type of Service]],2020,3500,3200,4100,5300)*Tbl_2021[[#This Row],[No of Visits]]</f>
        <v>2020</v>
      </c>
    </row>
    <row r="439" spans="2:8" x14ac:dyDescent="0.3">
      <c r="B439" t="s">
        <v>450</v>
      </c>
      <c r="C439" t="s">
        <v>1073</v>
      </c>
      <c r="D439" t="s">
        <v>6</v>
      </c>
      <c r="E439">
        <v>4</v>
      </c>
      <c r="F439" t="str">
        <f>+CHOOSE(Tbl_2021[[#This Row],[Type of Service]],"PEST","Disinfe","Rodent","Bird","Termite")</f>
        <v>Bird</v>
      </c>
      <c r="G439">
        <v>14</v>
      </c>
      <c r="H439" s="4">
        <f>+CHOOSE(Tbl_2021[[#This Row],[Type of Service]],2020,3500,3200,4100,5300)*Tbl_2021[[#This Row],[No of Visits]]</f>
        <v>57400</v>
      </c>
    </row>
    <row r="440" spans="2:8" x14ac:dyDescent="0.3">
      <c r="B440" t="s">
        <v>451</v>
      </c>
      <c r="C440" t="s">
        <v>1074</v>
      </c>
      <c r="D440" t="s">
        <v>8</v>
      </c>
      <c r="E440">
        <v>5</v>
      </c>
      <c r="F440" t="str">
        <f>+CHOOSE(Tbl_2021[[#This Row],[Type of Service]],"PEST","Disinfe","Rodent","Bird","Termite")</f>
        <v>Termite</v>
      </c>
      <c r="G440">
        <v>7</v>
      </c>
      <c r="H440" s="4">
        <f>+CHOOSE(Tbl_2021[[#This Row],[Type of Service]],2020,3500,3200,4100,5300)*Tbl_2021[[#This Row],[No of Visits]]</f>
        <v>37100</v>
      </c>
    </row>
    <row r="441" spans="2:8" x14ac:dyDescent="0.3">
      <c r="B441" t="s">
        <v>452</v>
      </c>
      <c r="C441" t="s">
        <v>1075</v>
      </c>
      <c r="D441" t="s">
        <v>10</v>
      </c>
      <c r="E441">
        <v>2</v>
      </c>
      <c r="F441" t="str">
        <f>+CHOOSE(Tbl_2021[[#This Row],[Type of Service]],"PEST","Disinfe","Rodent","Bird","Termite")</f>
        <v>Disinfe</v>
      </c>
      <c r="G441">
        <v>23</v>
      </c>
      <c r="H441" s="4">
        <f>+CHOOSE(Tbl_2021[[#This Row],[Type of Service]],2020,3500,3200,4100,5300)*Tbl_2021[[#This Row],[No of Visits]]</f>
        <v>80500</v>
      </c>
    </row>
    <row r="442" spans="2:8" x14ac:dyDescent="0.3">
      <c r="B442" t="s">
        <v>453</v>
      </c>
      <c r="C442" t="s">
        <v>1076</v>
      </c>
      <c r="D442" t="s">
        <v>12</v>
      </c>
      <c r="E442">
        <v>4</v>
      </c>
      <c r="F442" t="str">
        <f>+CHOOSE(Tbl_2021[[#This Row],[Type of Service]],"PEST","Disinfe","Rodent","Bird","Termite")</f>
        <v>Bird</v>
      </c>
      <c r="G442">
        <v>20</v>
      </c>
      <c r="H442" s="4">
        <f>+CHOOSE(Tbl_2021[[#This Row],[Type of Service]],2020,3500,3200,4100,5300)*Tbl_2021[[#This Row],[No of Visits]]</f>
        <v>82000</v>
      </c>
    </row>
    <row r="443" spans="2:8" x14ac:dyDescent="0.3">
      <c r="B443" t="s">
        <v>454</v>
      </c>
      <c r="C443" t="s">
        <v>1077</v>
      </c>
      <c r="D443" t="s">
        <v>14</v>
      </c>
      <c r="E443">
        <v>4</v>
      </c>
      <c r="F443" t="str">
        <f>+CHOOSE(Tbl_2021[[#This Row],[Type of Service]],"PEST","Disinfe","Rodent","Bird","Termite")</f>
        <v>Bird</v>
      </c>
      <c r="G443">
        <v>5</v>
      </c>
      <c r="H443" s="4">
        <f>+CHOOSE(Tbl_2021[[#This Row],[Type of Service]],2020,3500,3200,4100,5300)*Tbl_2021[[#This Row],[No of Visits]]</f>
        <v>20500</v>
      </c>
    </row>
    <row r="444" spans="2:8" x14ac:dyDescent="0.3">
      <c r="B444" t="s">
        <v>455</v>
      </c>
      <c r="C444" t="s">
        <v>1078</v>
      </c>
      <c r="D444" t="s">
        <v>16</v>
      </c>
      <c r="E444">
        <v>4</v>
      </c>
      <c r="F444" t="str">
        <f>+CHOOSE(Tbl_2021[[#This Row],[Type of Service]],"PEST","Disinfe","Rodent","Bird","Termite")</f>
        <v>Bird</v>
      </c>
      <c r="G444">
        <v>20</v>
      </c>
      <c r="H444" s="4">
        <f>+CHOOSE(Tbl_2021[[#This Row],[Type of Service]],2020,3500,3200,4100,5300)*Tbl_2021[[#This Row],[No of Visits]]</f>
        <v>82000</v>
      </c>
    </row>
    <row r="445" spans="2:8" x14ac:dyDescent="0.3">
      <c r="B445" t="s">
        <v>456</v>
      </c>
      <c r="C445" t="s">
        <v>1079</v>
      </c>
      <c r="D445" t="s">
        <v>4</v>
      </c>
      <c r="E445">
        <v>5</v>
      </c>
      <c r="F445" t="str">
        <f>+CHOOSE(Tbl_2021[[#This Row],[Type of Service]],"PEST","Disinfe","Rodent","Bird","Termite")</f>
        <v>Termite</v>
      </c>
      <c r="G445">
        <v>21</v>
      </c>
      <c r="H445" s="4">
        <f>+CHOOSE(Tbl_2021[[#This Row],[Type of Service]],2020,3500,3200,4100,5300)*Tbl_2021[[#This Row],[No of Visits]]</f>
        <v>111300</v>
      </c>
    </row>
    <row r="446" spans="2:8" x14ac:dyDescent="0.3">
      <c r="B446" t="s">
        <v>457</v>
      </c>
      <c r="C446" t="s">
        <v>1080</v>
      </c>
      <c r="D446" t="s">
        <v>6</v>
      </c>
      <c r="E446">
        <v>1</v>
      </c>
      <c r="F446" t="str">
        <f>+CHOOSE(Tbl_2021[[#This Row],[Type of Service]],"PEST","Disinfe","Rodent","Bird","Termite")</f>
        <v>PEST</v>
      </c>
      <c r="G446">
        <v>27</v>
      </c>
      <c r="H446" s="4">
        <f>+CHOOSE(Tbl_2021[[#This Row],[Type of Service]],2020,3500,3200,4100,5300)*Tbl_2021[[#This Row],[No of Visits]]</f>
        <v>54540</v>
      </c>
    </row>
    <row r="447" spans="2:8" x14ac:dyDescent="0.3">
      <c r="B447" t="s">
        <v>458</v>
      </c>
      <c r="C447" t="s">
        <v>1081</v>
      </c>
      <c r="D447" t="s">
        <v>8</v>
      </c>
      <c r="E447">
        <v>2</v>
      </c>
      <c r="F447" t="str">
        <f>+CHOOSE(Tbl_2021[[#This Row],[Type of Service]],"PEST","Disinfe","Rodent","Bird","Termite")</f>
        <v>Disinfe</v>
      </c>
      <c r="G447">
        <v>23</v>
      </c>
      <c r="H447" s="4">
        <f>+CHOOSE(Tbl_2021[[#This Row],[Type of Service]],2020,3500,3200,4100,5300)*Tbl_2021[[#This Row],[No of Visits]]</f>
        <v>80500</v>
      </c>
    </row>
    <row r="448" spans="2:8" x14ac:dyDescent="0.3">
      <c r="B448" t="s">
        <v>459</v>
      </c>
      <c r="C448" t="s">
        <v>844</v>
      </c>
      <c r="D448" t="s">
        <v>10</v>
      </c>
      <c r="E448">
        <v>2</v>
      </c>
      <c r="F448" t="str">
        <f>+CHOOSE(Tbl_2021[[#This Row],[Type of Service]],"PEST","Disinfe","Rodent","Bird","Termite")</f>
        <v>Disinfe</v>
      </c>
      <c r="G448">
        <v>25</v>
      </c>
      <c r="H448" s="4">
        <f>+CHOOSE(Tbl_2021[[#This Row],[Type of Service]],2020,3500,3200,4100,5300)*Tbl_2021[[#This Row],[No of Visits]]</f>
        <v>87500</v>
      </c>
    </row>
    <row r="449" spans="2:8" x14ac:dyDescent="0.3">
      <c r="B449" t="s">
        <v>460</v>
      </c>
      <c r="C449" t="s">
        <v>1082</v>
      </c>
      <c r="D449" t="s">
        <v>12</v>
      </c>
      <c r="E449">
        <v>4</v>
      </c>
      <c r="F449" t="str">
        <f>+CHOOSE(Tbl_2021[[#This Row],[Type of Service]],"PEST","Disinfe","Rodent","Bird","Termite")</f>
        <v>Bird</v>
      </c>
      <c r="G449">
        <v>27</v>
      </c>
      <c r="H449" s="4">
        <f>+CHOOSE(Tbl_2021[[#This Row],[Type of Service]],2020,3500,3200,4100,5300)*Tbl_2021[[#This Row],[No of Visits]]</f>
        <v>110700</v>
      </c>
    </row>
    <row r="450" spans="2:8" x14ac:dyDescent="0.3">
      <c r="B450" t="s">
        <v>461</v>
      </c>
      <c r="C450" t="s">
        <v>738</v>
      </c>
      <c r="D450" t="s">
        <v>14</v>
      </c>
      <c r="E450">
        <v>4</v>
      </c>
      <c r="F450" t="str">
        <f>+CHOOSE(Tbl_2021[[#This Row],[Type of Service]],"PEST","Disinfe","Rodent","Bird","Termite")</f>
        <v>Bird</v>
      </c>
      <c r="G450">
        <v>4</v>
      </c>
      <c r="H450" s="4">
        <f>+CHOOSE(Tbl_2021[[#This Row],[Type of Service]],2020,3500,3200,4100,5300)*Tbl_2021[[#This Row],[No of Visits]]</f>
        <v>16400</v>
      </c>
    </row>
    <row r="451" spans="2:8" x14ac:dyDescent="0.3">
      <c r="B451" t="s">
        <v>462</v>
      </c>
      <c r="C451" t="s">
        <v>1083</v>
      </c>
      <c r="D451" t="s">
        <v>16</v>
      </c>
      <c r="E451">
        <v>4</v>
      </c>
      <c r="F451" t="str">
        <f>+CHOOSE(Tbl_2021[[#This Row],[Type of Service]],"PEST","Disinfe","Rodent","Bird","Termite")</f>
        <v>Bird</v>
      </c>
      <c r="G451">
        <v>18</v>
      </c>
      <c r="H451" s="4">
        <f>+CHOOSE(Tbl_2021[[#This Row],[Type of Service]],2020,3500,3200,4100,5300)*Tbl_2021[[#This Row],[No of Visits]]</f>
        <v>73800</v>
      </c>
    </row>
    <row r="452" spans="2:8" x14ac:dyDescent="0.3">
      <c r="B452" t="s">
        <v>463</v>
      </c>
      <c r="C452" t="s">
        <v>1084</v>
      </c>
      <c r="D452" t="s">
        <v>4</v>
      </c>
      <c r="E452">
        <v>4</v>
      </c>
      <c r="F452" t="str">
        <f>+CHOOSE(Tbl_2021[[#This Row],[Type of Service]],"PEST","Disinfe","Rodent","Bird","Termite")</f>
        <v>Bird</v>
      </c>
      <c r="G452">
        <v>15</v>
      </c>
      <c r="H452" s="4">
        <f>+CHOOSE(Tbl_2021[[#This Row],[Type of Service]],2020,3500,3200,4100,5300)*Tbl_2021[[#This Row],[No of Visits]]</f>
        <v>61500</v>
      </c>
    </row>
    <row r="453" spans="2:8" x14ac:dyDescent="0.3">
      <c r="B453" t="s">
        <v>464</v>
      </c>
      <c r="C453" t="s">
        <v>1068</v>
      </c>
      <c r="D453" t="s">
        <v>6</v>
      </c>
      <c r="E453">
        <v>4</v>
      </c>
      <c r="F453" t="str">
        <f>+CHOOSE(Tbl_2021[[#This Row],[Type of Service]],"PEST","Disinfe","Rodent","Bird","Termite")</f>
        <v>Bird</v>
      </c>
      <c r="G453">
        <v>18</v>
      </c>
      <c r="H453" s="4">
        <f>+CHOOSE(Tbl_2021[[#This Row],[Type of Service]],2020,3500,3200,4100,5300)*Tbl_2021[[#This Row],[No of Visits]]</f>
        <v>73800</v>
      </c>
    </row>
    <row r="454" spans="2:8" x14ac:dyDescent="0.3">
      <c r="B454" t="s">
        <v>465</v>
      </c>
      <c r="C454" t="s">
        <v>1085</v>
      </c>
      <c r="D454" t="s">
        <v>8</v>
      </c>
      <c r="E454">
        <v>5</v>
      </c>
      <c r="F454" t="str">
        <f>+CHOOSE(Tbl_2021[[#This Row],[Type of Service]],"PEST","Disinfe","Rodent","Bird","Termite")</f>
        <v>Termite</v>
      </c>
      <c r="G454">
        <v>12</v>
      </c>
      <c r="H454" s="4">
        <f>+CHOOSE(Tbl_2021[[#This Row],[Type of Service]],2020,3500,3200,4100,5300)*Tbl_2021[[#This Row],[No of Visits]]</f>
        <v>63600</v>
      </c>
    </row>
    <row r="455" spans="2:8" x14ac:dyDescent="0.3">
      <c r="B455" t="s">
        <v>466</v>
      </c>
      <c r="C455" t="s">
        <v>1086</v>
      </c>
      <c r="D455" t="s">
        <v>10</v>
      </c>
      <c r="E455">
        <v>4</v>
      </c>
      <c r="F455" t="str">
        <f>+CHOOSE(Tbl_2021[[#This Row],[Type of Service]],"PEST","Disinfe","Rodent","Bird","Termite")</f>
        <v>Bird</v>
      </c>
      <c r="G455">
        <v>6</v>
      </c>
      <c r="H455" s="4">
        <f>+CHOOSE(Tbl_2021[[#This Row],[Type of Service]],2020,3500,3200,4100,5300)*Tbl_2021[[#This Row],[No of Visits]]</f>
        <v>24600</v>
      </c>
    </row>
    <row r="456" spans="2:8" x14ac:dyDescent="0.3">
      <c r="B456" t="s">
        <v>467</v>
      </c>
      <c r="C456" t="s">
        <v>1079</v>
      </c>
      <c r="D456" t="s">
        <v>12</v>
      </c>
      <c r="E456">
        <v>4</v>
      </c>
      <c r="F456" t="str">
        <f>+CHOOSE(Tbl_2021[[#This Row],[Type of Service]],"PEST","Disinfe","Rodent","Bird","Termite")</f>
        <v>Bird</v>
      </c>
      <c r="G456">
        <v>13</v>
      </c>
      <c r="H456" s="4">
        <f>+CHOOSE(Tbl_2021[[#This Row],[Type of Service]],2020,3500,3200,4100,5300)*Tbl_2021[[#This Row],[No of Visits]]</f>
        <v>53300</v>
      </c>
    </row>
    <row r="457" spans="2:8" x14ac:dyDescent="0.3">
      <c r="B457" t="s">
        <v>468</v>
      </c>
      <c r="C457" t="s">
        <v>1087</v>
      </c>
      <c r="D457" t="s">
        <v>14</v>
      </c>
      <c r="E457">
        <v>2</v>
      </c>
      <c r="F457" t="str">
        <f>+CHOOSE(Tbl_2021[[#This Row],[Type of Service]],"PEST","Disinfe","Rodent","Bird","Termite")</f>
        <v>Disinfe</v>
      </c>
      <c r="G457">
        <v>18</v>
      </c>
      <c r="H457" s="4">
        <f>+CHOOSE(Tbl_2021[[#This Row],[Type of Service]],2020,3500,3200,4100,5300)*Tbl_2021[[#This Row],[No of Visits]]</f>
        <v>63000</v>
      </c>
    </row>
    <row r="458" spans="2:8" x14ac:dyDescent="0.3">
      <c r="B458" t="s">
        <v>469</v>
      </c>
      <c r="C458" t="s">
        <v>727</v>
      </c>
      <c r="D458" t="s">
        <v>16</v>
      </c>
      <c r="E458">
        <v>4</v>
      </c>
      <c r="F458" t="str">
        <f>+CHOOSE(Tbl_2021[[#This Row],[Type of Service]],"PEST","Disinfe","Rodent","Bird","Termite")</f>
        <v>Bird</v>
      </c>
      <c r="G458">
        <v>30</v>
      </c>
      <c r="H458" s="4">
        <f>+CHOOSE(Tbl_2021[[#This Row],[Type of Service]],2020,3500,3200,4100,5300)*Tbl_2021[[#This Row],[No of Visits]]</f>
        <v>123000</v>
      </c>
    </row>
    <row r="459" spans="2:8" x14ac:dyDescent="0.3">
      <c r="B459" t="s">
        <v>470</v>
      </c>
      <c r="C459" t="s">
        <v>1088</v>
      </c>
      <c r="D459" t="s">
        <v>4</v>
      </c>
      <c r="E459">
        <v>4</v>
      </c>
      <c r="F459" t="str">
        <f>+CHOOSE(Tbl_2021[[#This Row],[Type of Service]],"PEST","Disinfe","Rodent","Bird","Termite")</f>
        <v>Bird</v>
      </c>
      <c r="G459">
        <v>27</v>
      </c>
      <c r="H459" s="4">
        <f>+CHOOSE(Tbl_2021[[#This Row],[Type of Service]],2020,3500,3200,4100,5300)*Tbl_2021[[#This Row],[No of Visits]]</f>
        <v>110700</v>
      </c>
    </row>
    <row r="460" spans="2:8" x14ac:dyDescent="0.3">
      <c r="B460" t="s">
        <v>471</v>
      </c>
      <c r="C460" t="s">
        <v>1089</v>
      </c>
      <c r="D460" t="s">
        <v>6</v>
      </c>
      <c r="E460">
        <v>4</v>
      </c>
      <c r="F460" t="str">
        <f>+CHOOSE(Tbl_2021[[#This Row],[Type of Service]],"PEST","Disinfe","Rodent","Bird","Termite")</f>
        <v>Bird</v>
      </c>
      <c r="G460">
        <v>32</v>
      </c>
      <c r="H460" s="4">
        <f>+CHOOSE(Tbl_2021[[#This Row],[Type of Service]],2020,3500,3200,4100,5300)*Tbl_2021[[#This Row],[No of Visits]]</f>
        <v>131200</v>
      </c>
    </row>
    <row r="461" spans="2:8" x14ac:dyDescent="0.3">
      <c r="B461" t="s">
        <v>472</v>
      </c>
      <c r="C461" t="s">
        <v>1090</v>
      </c>
      <c r="D461" t="s">
        <v>8</v>
      </c>
      <c r="E461">
        <v>4</v>
      </c>
      <c r="F461" t="str">
        <f>+CHOOSE(Tbl_2021[[#This Row],[Type of Service]],"PEST","Disinfe","Rodent","Bird","Termite")</f>
        <v>Bird</v>
      </c>
      <c r="G461">
        <v>21</v>
      </c>
      <c r="H461" s="4">
        <f>+CHOOSE(Tbl_2021[[#This Row],[Type of Service]],2020,3500,3200,4100,5300)*Tbl_2021[[#This Row],[No of Visits]]</f>
        <v>86100</v>
      </c>
    </row>
    <row r="462" spans="2:8" x14ac:dyDescent="0.3">
      <c r="B462" t="s">
        <v>473</v>
      </c>
      <c r="C462" t="s">
        <v>1091</v>
      </c>
      <c r="D462" t="s">
        <v>10</v>
      </c>
      <c r="E462">
        <v>4</v>
      </c>
      <c r="F462" t="str">
        <f>+CHOOSE(Tbl_2021[[#This Row],[Type of Service]],"PEST","Disinfe","Rodent","Bird","Termite")</f>
        <v>Bird</v>
      </c>
      <c r="G462">
        <v>21</v>
      </c>
      <c r="H462" s="4">
        <f>+CHOOSE(Tbl_2021[[#This Row],[Type of Service]],2020,3500,3200,4100,5300)*Tbl_2021[[#This Row],[No of Visits]]</f>
        <v>86100</v>
      </c>
    </row>
    <row r="463" spans="2:8" x14ac:dyDescent="0.3">
      <c r="B463" t="s">
        <v>474</v>
      </c>
      <c r="C463" t="s">
        <v>1092</v>
      </c>
      <c r="D463" t="s">
        <v>12</v>
      </c>
      <c r="E463">
        <v>4</v>
      </c>
      <c r="F463" t="str">
        <f>+CHOOSE(Tbl_2021[[#This Row],[Type of Service]],"PEST","Disinfe","Rodent","Bird","Termite")</f>
        <v>Bird</v>
      </c>
      <c r="G463">
        <v>21</v>
      </c>
      <c r="H463" s="4">
        <f>+CHOOSE(Tbl_2021[[#This Row],[Type of Service]],2020,3500,3200,4100,5300)*Tbl_2021[[#This Row],[No of Visits]]</f>
        <v>86100</v>
      </c>
    </row>
    <row r="464" spans="2:8" x14ac:dyDescent="0.3">
      <c r="B464" t="s">
        <v>475</v>
      </c>
      <c r="C464" t="s">
        <v>1093</v>
      </c>
      <c r="D464" t="s">
        <v>14</v>
      </c>
      <c r="E464">
        <v>5</v>
      </c>
      <c r="F464" t="str">
        <f>+CHOOSE(Tbl_2021[[#This Row],[Type of Service]],"PEST","Disinfe","Rodent","Bird","Termite")</f>
        <v>Termite</v>
      </c>
      <c r="G464">
        <v>8</v>
      </c>
      <c r="H464" s="4">
        <f>+CHOOSE(Tbl_2021[[#This Row],[Type of Service]],2020,3500,3200,4100,5300)*Tbl_2021[[#This Row],[No of Visits]]</f>
        <v>42400</v>
      </c>
    </row>
    <row r="465" spans="2:8" x14ac:dyDescent="0.3">
      <c r="B465" t="s">
        <v>476</v>
      </c>
      <c r="C465" t="s">
        <v>1094</v>
      </c>
      <c r="D465" t="s">
        <v>16</v>
      </c>
      <c r="E465">
        <v>2</v>
      </c>
      <c r="F465" t="str">
        <f>+CHOOSE(Tbl_2021[[#This Row],[Type of Service]],"PEST","Disinfe","Rodent","Bird","Termite")</f>
        <v>Disinfe</v>
      </c>
      <c r="G465">
        <v>27</v>
      </c>
      <c r="H465" s="4">
        <f>+CHOOSE(Tbl_2021[[#This Row],[Type of Service]],2020,3500,3200,4100,5300)*Tbl_2021[[#This Row],[No of Visits]]</f>
        <v>94500</v>
      </c>
    </row>
    <row r="466" spans="2:8" x14ac:dyDescent="0.3">
      <c r="B466" t="s">
        <v>477</v>
      </c>
      <c r="C466" t="s">
        <v>1095</v>
      </c>
      <c r="D466" t="s">
        <v>4</v>
      </c>
      <c r="E466">
        <v>2</v>
      </c>
      <c r="F466" t="str">
        <f>+CHOOSE(Tbl_2021[[#This Row],[Type of Service]],"PEST","Disinfe","Rodent","Bird","Termite")</f>
        <v>Disinfe</v>
      </c>
      <c r="G466">
        <v>36</v>
      </c>
      <c r="H466" s="4">
        <f>+CHOOSE(Tbl_2021[[#This Row],[Type of Service]],2020,3500,3200,4100,5300)*Tbl_2021[[#This Row],[No of Visits]]</f>
        <v>126000</v>
      </c>
    </row>
    <row r="467" spans="2:8" x14ac:dyDescent="0.3">
      <c r="B467" t="s">
        <v>478</v>
      </c>
      <c r="C467" t="s">
        <v>1035</v>
      </c>
      <c r="D467" t="s">
        <v>6</v>
      </c>
      <c r="E467">
        <v>4</v>
      </c>
      <c r="F467" t="str">
        <f>+CHOOSE(Tbl_2021[[#This Row],[Type of Service]],"PEST","Disinfe","Rodent","Bird","Termite")</f>
        <v>Bird</v>
      </c>
      <c r="G467">
        <v>6</v>
      </c>
      <c r="H467" s="4">
        <f>+CHOOSE(Tbl_2021[[#This Row],[Type of Service]],2020,3500,3200,4100,5300)*Tbl_2021[[#This Row],[No of Visits]]</f>
        <v>24600</v>
      </c>
    </row>
    <row r="468" spans="2:8" x14ac:dyDescent="0.3">
      <c r="B468" t="s">
        <v>479</v>
      </c>
      <c r="C468" t="s">
        <v>953</v>
      </c>
      <c r="D468" t="s">
        <v>8</v>
      </c>
      <c r="E468">
        <v>5</v>
      </c>
      <c r="F468" t="str">
        <f>+CHOOSE(Tbl_2021[[#This Row],[Type of Service]],"PEST","Disinfe","Rodent","Bird","Termite")</f>
        <v>Termite</v>
      </c>
      <c r="G468">
        <v>17</v>
      </c>
      <c r="H468" s="4">
        <f>+CHOOSE(Tbl_2021[[#This Row],[Type of Service]],2020,3500,3200,4100,5300)*Tbl_2021[[#This Row],[No of Visits]]</f>
        <v>90100</v>
      </c>
    </row>
    <row r="469" spans="2:8" x14ac:dyDescent="0.3">
      <c r="B469" t="s">
        <v>480</v>
      </c>
      <c r="C469" t="s">
        <v>1096</v>
      </c>
      <c r="D469" t="s">
        <v>10</v>
      </c>
      <c r="E469">
        <v>2</v>
      </c>
      <c r="F469" t="str">
        <f>+CHOOSE(Tbl_2021[[#This Row],[Type of Service]],"PEST","Disinfe","Rodent","Bird","Termite")</f>
        <v>Disinfe</v>
      </c>
      <c r="G469">
        <v>23</v>
      </c>
      <c r="H469" s="4">
        <f>+CHOOSE(Tbl_2021[[#This Row],[Type of Service]],2020,3500,3200,4100,5300)*Tbl_2021[[#This Row],[No of Visits]]</f>
        <v>80500</v>
      </c>
    </row>
    <row r="470" spans="2:8" x14ac:dyDescent="0.3">
      <c r="B470" t="s">
        <v>481</v>
      </c>
      <c r="C470" t="s">
        <v>1097</v>
      </c>
      <c r="D470" t="s">
        <v>12</v>
      </c>
      <c r="E470">
        <v>2</v>
      </c>
      <c r="F470" t="str">
        <f>+CHOOSE(Tbl_2021[[#This Row],[Type of Service]],"PEST","Disinfe","Rodent","Bird","Termite")</f>
        <v>Disinfe</v>
      </c>
      <c r="G470">
        <v>15</v>
      </c>
      <c r="H470" s="4">
        <f>+CHOOSE(Tbl_2021[[#This Row],[Type of Service]],2020,3500,3200,4100,5300)*Tbl_2021[[#This Row],[No of Visits]]</f>
        <v>52500</v>
      </c>
    </row>
    <row r="471" spans="2:8" x14ac:dyDescent="0.3">
      <c r="B471" t="s">
        <v>482</v>
      </c>
      <c r="C471" t="s">
        <v>1062</v>
      </c>
      <c r="D471" t="s">
        <v>14</v>
      </c>
      <c r="E471">
        <v>2</v>
      </c>
      <c r="F471" t="str">
        <f>+CHOOSE(Tbl_2021[[#This Row],[Type of Service]],"PEST","Disinfe","Rodent","Bird","Termite")</f>
        <v>Disinfe</v>
      </c>
      <c r="G471">
        <v>23</v>
      </c>
      <c r="H471" s="4">
        <f>+CHOOSE(Tbl_2021[[#This Row],[Type of Service]],2020,3500,3200,4100,5300)*Tbl_2021[[#This Row],[No of Visits]]</f>
        <v>80500</v>
      </c>
    </row>
    <row r="472" spans="2:8" x14ac:dyDescent="0.3">
      <c r="B472" t="s">
        <v>483</v>
      </c>
      <c r="C472" t="s">
        <v>1098</v>
      </c>
      <c r="D472" t="s">
        <v>16</v>
      </c>
      <c r="E472">
        <v>5</v>
      </c>
      <c r="F472" t="str">
        <f>+CHOOSE(Tbl_2021[[#This Row],[Type of Service]],"PEST","Disinfe","Rodent","Bird","Termite")</f>
        <v>Termite</v>
      </c>
      <c r="G472">
        <v>18</v>
      </c>
      <c r="H472" s="4">
        <f>+CHOOSE(Tbl_2021[[#This Row],[Type of Service]],2020,3500,3200,4100,5300)*Tbl_2021[[#This Row],[No of Visits]]</f>
        <v>95400</v>
      </c>
    </row>
    <row r="473" spans="2:8" x14ac:dyDescent="0.3">
      <c r="B473" t="s">
        <v>484</v>
      </c>
      <c r="C473" t="s">
        <v>1099</v>
      </c>
      <c r="D473" t="s">
        <v>4</v>
      </c>
      <c r="E473">
        <v>5</v>
      </c>
      <c r="F473" t="str">
        <f>+CHOOSE(Tbl_2021[[#This Row],[Type of Service]],"PEST","Disinfe","Rodent","Bird","Termite")</f>
        <v>Termite</v>
      </c>
      <c r="G473">
        <v>11</v>
      </c>
      <c r="H473" s="4">
        <f>+CHOOSE(Tbl_2021[[#This Row],[Type of Service]],2020,3500,3200,4100,5300)*Tbl_2021[[#This Row],[No of Visits]]</f>
        <v>58300</v>
      </c>
    </row>
    <row r="474" spans="2:8" x14ac:dyDescent="0.3">
      <c r="B474" t="s">
        <v>485</v>
      </c>
      <c r="C474" t="s">
        <v>1100</v>
      </c>
      <c r="D474" t="s">
        <v>6</v>
      </c>
      <c r="E474">
        <v>5</v>
      </c>
      <c r="F474" t="str">
        <f>+CHOOSE(Tbl_2021[[#This Row],[Type of Service]],"PEST","Disinfe","Rodent","Bird","Termite")</f>
        <v>Termite</v>
      </c>
      <c r="G474">
        <v>36</v>
      </c>
      <c r="H474" s="4">
        <f>+CHOOSE(Tbl_2021[[#This Row],[Type of Service]],2020,3500,3200,4100,5300)*Tbl_2021[[#This Row],[No of Visits]]</f>
        <v>190800</v>
      </c>
    </row>
    <row r="475" spans="2:8" x14ac:dyDescent="0.3">
      <c r="B475" t="s">
        <v>486</v>
      </c>
      <c r="C475" t="s">
        <v>1101</v>
      </c>
      <c r="D475" t="s">
        <v>8</v>
      </c>
      <c r="E475">
        <v>4</v>
      </c>
      <c r="F475" t="str">
        <f>+CHOOSE(Tbl_2021[[#This Row],[Type of Service]],"PEST","Disinfe","Rodent","Bird","Termite")</f>
        <v>Bird</v>
      </c>
      <c r="G475">
        <v>11</v>
      </c>
      <c r="H475" s="4">
        <f>+CHOOSE(Tbl_2021[[#This Row],[Type of Service]],2020,3500,3200,4100,5300)*Tbl_2021[[#This Row],[No of Visits]]</f>
        <v>45100</v>
      </c>
    </row>
    <row r="476" spans="2:8" x14ac:dyDescent="0.3">
      <c r="B476" t="s">
        <v>487</v>
      </c>
      <c r="C476" t="s">
        <v>488</v>
      </c>
      <c r="D476" t="s">
        <v>10</v>
      </c>
      <c r="E476">
        <v>5</v>
      </c>
      <c r="F476" t="str">
        <f>+CHOOSE(Tbl_2021[[#This Row],[Type of Service]],"PEST","Disinfe","Rodent","Bird","Termite")</f>
        <v>Termite</v>
      </c>
      <c r="G476">
        <v>13</v>
      </c>
      <c r="H476" s="4">
        <f>+CHOOSE(Tbl_2021[[#This Row],[Type of Service]],2020,3500,3200,4100,5300)*Tbl_2021[[#This Row],[No of Visits]]</f>
        <v>68900</v>
      </c>
    </row>
    <row r="477" spans="2:8" x14ac:dyDescent="0.3">
      <c r="B477" t="s">
        <v>489</v>
      </c>
      <c r="C477" t="s">
        <v>860</v>
      </c>
      <c r="D477" t="s">
        <v>12</v>
      </c>
      <c r="E477">
        <v>5</v>
      </c>
      <c r="F477" t="str">
        <f>+CHOOSE(Tbl_2021[[#This Row],[Type of Service]],"PEST","Disinfe","Rodent","Bird","Termite")</f>
        <v>Termite</v>
      </c>
      <c r="G477">
        <v>17</v>
      </c>
      <c r="H477" s="4">
        <f>+CHOOSE(Tbl_2021[[#This Row],[Type of Service]],2020,3500,3200,4100,5300)*Tbl_2021[[#This Row],[No of Visits]]</f>
        <v>90100</v>
      </c>
    </row>
    <row r="478" spans="2:8" x14ac:dyDescent="0.3">
      <c r="B478" t="s">
        <v>490</v>
      </c>
      <c r="C478" t="s">
        <v>1102</v>
      </c>
      <c r="D478" t="s">
        <v>14</v>
      </c>
      <c r="E478">
        <v>1</v>
      </c>
      <c r="F478" t="str">
        <f>+CHOOSE(Tbl_2021[[#This Row],[Type of Service]],"PEST","Disinfe","Rodent","Bird","Termite")</f>
        <v>PEST</v>
      </c>
      <c r="G478">
        <v>30</v>
      </c>
      <c r="H478" s="4">
        <f>+CHOOSE(Tbl_2021[[#This Row],[Type of Service]],2020,3500,3200,4100,5300)*Tbl_2021[[#This Row],[No of Visits]]</f>
        <v>60600</v>
      </c>
    </row>
    <row r="479" spans="2:8" x14ac:dyDescent="0.3">
      <c r="B479" t="s">
        <v>491</v>
      </c>
      <c r="C479" t="s">
        <v>1103</v>
      </c>
      <c r="D479" t="s">
        <v>16</v>
      </c>
      <c r="E479">
        <v>4</v>
      </c>
      <c r="F479" t="str">
        <f>+CHOOSE(Tbl_2021[[#This Row],[Type of Service]],"PEST","Disinfe","Rodent","Bird","Termite")</f>
        <v>Bird</v>
      </c>
      <c r="G479">
        <v>19</v>
      </c>
      <c r="H479" s="4">
        <f>+CHOOSE(Tbl_2021[[#This Row],[Type of Service]],2020,3500,3200,4100,5300)*Tbl_2021[[#This Row],[No of Visits]]</f>
        <v>77900</v>
      </c>
    </row>
    <row r="480" spans="2:8" x14ac:dyDescent="0.3">
      <c r="B480" t="s">
        <v>492</v>
      </c>
      <c r="C480" t="s">
        <v>1104</v>
      </c>
      <c r="D480" t="s">
        <v>4</v>
      </c>
      <c r="E480">
        <v>1</v>
      </c>
      <c r="F480" t="str">
        <f>+CHOOSE(Tbl_2021[[#This Row],[Type of Service]],"PEST","Disinfe","Rodent","Bird","Termite")</f>
        <v>PEST</v>
      </c>
      <c r="G480">
        <v>5</v>
      </c>
      <c r="H480" s="4">
        <f>+CHOOSE(Tbl_2021[[#This Row],[Type of Service]],2020,3500,3200,4100,5300)*Tbl_2021[[#This Row],[No of Visits]]</f>
        <v>10100</v>
      </c>
    </row>
    <row r="481" spans="2:8" x14ac:dyDescent="0.3">
      <c r="B481" t="s">
        <v>493</v>
      </c>
      <c r="C481" t="s">
        <v>766</v>
      </c>
      <c r="D481" t="s">
        <v>6</v>
      </c>
      <c r="E481">
        <v>4</v>
      </c>
      <c r="F481" t="str">
        <f>+CHOOSE(Tbl_2021[[#This Row],[Type of Service]],"PEST","Disinfe","Rodent","Bird","Termite")</f>
        <v>Bird</v>
      </c>
      <c r="G481">
        <v>7</v>
      </c>
      <c r="H481" s="4">
        <f>+CHOOSE(Tbl_2021[[#This Row],[Type of Service]],2020,3500,3200,4100,5300)*Tbl_2021[[#This Row],[No of Visits]]</f>
        <v>28700</v>
      </c>
    </row>
    <row r="482" spans="2:8" x14ac:dyDescent="0.3">
      <c r="B482" t="s">
        <v>494</v>
      </c>
      <c r="C482" t="s">
        <v>932</v>
      </c>
      <c r="D482" t="s">
        <v>8</v>
      </c>
      <c r="E482">
        <v>2</v>
      </c>
      <c r="F482" t="str">
        <f>+CHOOSE(Tbl_2021[[#This Row],[Type of Service]],"PEST","Disinfe","Rodent","Bird","Termite")</f>
        <v>Disinfe</v>
      </c>
      <c r="G482">
        <v>23</v>
      </c>
      <c r="H482" s="4">
        <f>+CHOOSE(Tbl_2021[[#This Row],[Type of Service]],2020,3500,3200,4100,5300)*Tbl_2021[[#This Row],[No of Visits]]</f>
        <v>80500</v>
      </c>
    </row>
    <row r="483" spans="2:8" x14ac:dyDescent="0.3">
      <c r="B483" t="s">
        <v>495</v>
      </c>
      <c r="C483" t="s">
        <v>1105</v>
      </c>
      <c r="D483" t="s">
        <v>10</v>
      </c>
      <c r="E483">
        <v>2</v>
      </c>
      <c r="F483" t="str">
        <f>+CHOOSE(Tbl_2021[[#This Row],[Type of Service]],"PEST","Disinfe","Rodent","Bird","Termite")</f>
        <v>Disinfe</v>
      </c>
      <c r="G483">
        <v>7</v>
      </c>
      <c r="H483" s="4">
        <f>+CHOOSE(Tbl_2021[[#This Row],[Type of Service]],2020,3500,3200,4100,5300)*Tbl_2021[[#This Row],[No of Visits]]</f>
        <v>24500</v>
      </c>
    </row>
    <row r="484" spans="2:8" x14ac:dyDescent="0.3">
      <c r="B484" t="s">
        <v>496</v>
      </c>
      <c r="C484" t="s">
        <v>1106</v>
      </c>
      <c r="D484" t="s">
        <v>12</v>
      </c>
      <c r="E484">
        <v>5</v>
      </c>
      <c r="F484" t="str">
        <f>+CHOOSE(Tbl_2021[[#This Row],[Type of Service]],"PEST","Disinfe","Rodent","Bird","Termite")</f>
        <v>Termite</v>
      </c>
      <c r="G484">
        <v>15</v>
      </c>
      <c r="H484" s="4">
        <f>+CHOOSE(Tbl_2021[[#This Row],[Type of Service]],2020,3500,3200,4100,5300)*Tbl_2021[[#This Row],[No of Visits]]</f>
        <v>79500</v>
      </c>
    </row>
    <row r="485" spans="2:8" x14ac:dyDescent="0.3">
      <c r="B485" t="s">
        <v>497</v>
      </c>
      <c r="C485" t="s">
        <v>1107</v>
      </c>
      <c r="D485" t="s">
        <v>14</v>
      </c>
      <c r="E485">
        <v>5</v>
      </c>
      <c r="F485" t="str">
        <f>+CHOOSE(Tbl_2021[[#This Row],[Type of Service]],"PEST","Disinfe","Rodent","Bird","Termite")</f>
        <v>Termite</v>
      </c>
      <c r="G485">
        <v>3</v>
      </c>
      <c r="H485" s="4">
        <f>+CHOOSE(Tbl_2021[[#This Row],[Type of Service]],2020,3500,3200,4100,5300)*Tbl_2021[[#This Row],[No of Visits]]</f>
        <v>15900</v>
      </c>
    </row>
    <row r="486" spans="2:8" x14ac:dyDescent="0.3">
      <c r="B486" t="s">
        <v>498</v>
      </c>
      <c r="C486" t="s">
        <v>1068</v>
      </c>
      <c r="D486" t="s">
        <v>16</v>
      </c>
      <c r="E486">
        <v>4</v>
      </c>
      <c r="F486" t="str">
        <f>+CHOOSE(Tbl_2021[[#This Row],[Type of Service]],"PEST","Disinfe","Rodent","Bird","Termite")</f>
        <v>Bird</v>
      </c>
      <c r="G486">
        <v>20</v>
      </c>
      <c r="H486" s="4">
        <f>+CHOOSE(Tbl_2021[[#This Row],[Type of Service]],2020,3500,3200,4100,5300)*Tbl_2021[[#This Row],[No of Visits]]</f>
        <v>82000</v>
      </c>
    </row>
    <row r="487" spans="2:8" x14ac:dyDescent="0.3">
      <c r="B487" t="s">
        <v>499</v>
      </c>
      <c r="C487" t="s">
        <v>1108</v>
      </c>
      <c r="D487" t="s">
        <v>4</v>
      </c>
      <c r="E487">
        <v>1</v>
      </c>
      <c r="F487" t="str">
        <f>+CHOOSE(Tbl_2021[[#This Row],[Type of Service]],"PEST","Disinfe","Rodent","Bird","Termite")</f>
        <v>PEST</v>
      </c>
      <c r="G487">
        <v>17</v>
      </c>
      <c r="H487" s="4">
        <f>+CHOOSE(Tbl_2021[[#This Row],[Type of Service]],2020,3500,3200,4100,5300)*Tbl_2021[[#This Row],[No of Visits]]</f>
        <v>34340</v>
      </c>
    </row>
    <row r="488" spans="2:8" x14ac:dyDescent="0.3">
      <c r="B488" t="s">
        <v>500</v>
      </c>
      <c r="C488" t="s">
        <v>1109</v>
      </c>
      <c r="D488" t="s">
        <v>6</v>
      </c>
      <c r="E488">
        <v>5</v>
      </c>
      <c r="F488" t="str">
        <f>+CHOOSE(Tbl_2021[[#This Row],[Type of Service]],"PEST","Disinfe","Rodent","Bird","Termite")</f>
        <v>Termite</v>
      </c>
      <c r="G488">
        <v>36</v>
      </c>
      <c r="H488" s="4">
        <f>+CHOOSE(Tbl_2021[[#This Row],[Type of Service]],2020,3500,3200,4100,5300)*Tbl_2021[[#This Row],[No of Visits]]</f>
        <v>190800</v>
      </c>
    </row>
    <row r="489" spans="2:8" x14ac:dyDescent="0.3">
      <c r="B489" t="s">
        <v>501</v>
      </c>
      <c r="C489" t="s">
        <v>1110</v>
      </c>
      <c r="D489" t="s">
        <v>8</v>
      </c>
      <c r="E489">
        <v>5</v>
      </c>
      <c r="F489" t="str">
        <f>+CHOOSE(Tbl_2021[[#This Row],[Type of Service]],"PEST","Disinfe","Rodent","Bird","Termite")</f>
        <v>Termite</v>
      </c>
      <c r="G489">
        <v>3</v>
      </c>
      <c r="H489" s="4">
        <f>+CHOOSE(Tbl_2021[[#This Row],[Type of Service]],2020,3500,3200,4100,5300)*Tbl_2021[[#This Row],[No of Visits]]</f>
        <v>15900</v>
      </c>
    </row>
    <row r="490" spans="2:8" x14ac:dyDescent="0.3">
      <c r="B490" t="s">
        <v>502</v>
      </c>
      <c r="C490" t="s">
        <v>1111</v>
      </c>
      <c r="D490" t="s">
        <v>10</v>
      </c>
      <c r="E490">
        <v>4</v>
      </c>
      <c r="F490" t="str">
        <f>+CHOOSE(Tbl_2021[[#This Row],[Type of Service]],"PEST","Disinfe","Rodent","Bird","Termite")</f>
        <v>Bird</v>
      </c>
      <c r="G490">
        <v>24</v>
      </c>
      <c r="H490" s="4">
        <f>+CHOOSE(Tbl_2021[[#This Row],[Type of Service]],2020,3500,3200,4100,5300)*Tbl_2021[[#This Row],[No of Visits]]</f>
        <v>98400</v>
      </c>
    </row>
    <row r="491" spans="2:8" x14ac:dyDescent="0.3">
      <c r="B491" t="s">
        <v>503</v>
      </c>
      <c r="C491" t="s">
        <v>1112</v>
      </c>
      <c r="D491" t="s">
        <v>12</v>
      </c>
      <c r="E491">
        <v>2</v>
      </c>
      <c r="F491" t="str">
        <f>+CHOOSE(Tbl_2021[[#This Row],[Type of Service]],"PEST","Disinfe","Rodent","Bird","Termite")</f>
        <v>Disinfe</v>
      </c>
      <c r="G491">
        <v>29</v>
      </c>
      <c r="H491" s="4">
        <f>+CHOOSE(Tbl_2021[[#This Row],[Type of Service]],2020,3500,3200,4100,5300)*Tbl_2021[[#This Row],[No of Visits]]</f>
        <v>101500</v>
      </c>
    </row>
    <row r="492" spans="2:8" x14ac:dyDescent="0.3">
      <c r="B492" t="s">
        <v>504</v>
      </c>
      <c r="C492" t="s">
        <v>1113</v>
      </c>
      <c r="D492" t="s">
        <v>14</v>
      </c>
      <c r="E492">
        <v>4</v>
      </c>
      <c r="F492" t="str">
        <f>+CHOOSE(Tbl_2021[[#This Row],[Type of Service]],"PEST","Disinfe","Rodent","Bird","Termite")</f>
        <v>Bird</v>
      </c>
      <c r="G492">
        <v>13</v>
      </c>
      <c r="H492" s="4">
        <f>+CHOOSE(Tbl_2021[[#This Row],[Type of Service]],2020,3500,3200,4100,5300)*Tbl_2021[[#This Row],[No of Visits]]</f>
        <v>53300</v>
      </c>
    </row>
    <row r="493" spans="2:8" x14ac:dyDescent="0.3">
      <c r="B493" t="s">
        <v>505</v>
      </c>
      <c r="C493" t="s">
        <v>1114</v>
      </c>
      <c r="D493" t="s">
        <v>16</v>
      </c>
      <c r="E493">
        <v>1</v>
      </c>
      <c r="F493" t="str">
        <f>+CHOOSE(Tbl_2021[[#This Row],[Type of Service]],"PEST","Disinfe","Rodent","Bird","Termite")</f>
        <v>PEST</v>
      </c>
      <c r="G493">
        <v>7</v>
      </c>
      <c r="H493" s="4">
        <f>+CHOOSE(Tbl_2021[[#This Row],[Type of Service]],2020,3500,3200,4100,5300)*Tbl_2021[[#This Row],[No of Visits]]</f>
        <v>14140</v>
      </c>
    </row>
    <row r="494" spans="2:8" x14ac:dyDescent="0.3">
      <c r="B494" t="s">
        <v>506</v>
      </c>
      <c r="C494" t="s">
        <v>1115</v>
      </c>
      <c r="D494" t="s">
        <v>4</v>
      </c>
      <c r="E494">
        <v>4</v>
      </c>
      <c r="F494" t="str">
        <f>+CHOOSE(Tbl_2021[[#This Row],[Type of Service]],"PEST","Disinfe","Rodent","Bird","Termite")</f>
        <v>Bird</v>
      </c>
      <c r="G494">
        <v>14</v>
      </c>
      <c r="H494" s="4">
        <f>+CHOOSE(Tbl_2021[[#This Row],[Type of Service]],2020,3500,3200,4100,5300)*Tbl_2021[[#This Row],[No of Visits]]</f>
        <v>57400</v>
      </c>
    </row>
    <row r="495" spans="2:8" x14ac:dyDescent="0.3">
      <c r="B495" t="s">
        <v>507</v>
      </c>
      <c r="C495" t="s">
        <v>1116</v>
      </c>
      <c r="D495" t="s">
        <v>6</v>
      </c>
      <c r="E495">
        <v>4</v>
      </c>
      <c r="F495" t="str">
        <f>+CHOOSE(Tbl_2021[[#This Row],[Type of Service]],"PEST","Disinfe","Rodent","Bird","Termite")</f>
        <v>Bird</v>
      </c>
      <c r="G495">
        <v>36</v>
      </c>
      <c r="H495" s="4">
        <f>+CHOOSE(Tbl_2021[[#This Row],[Type of Service]],2020,3500,3200,4100,5300)*Tbl_2021[[#This Row],[No of Visits]]</f>
        <v>147600</v>
      </c>
    </row>
    <row r="496" spans="2:8" x14ac:dyDescent="0.3">
      <c r="B496" t="s">
        <v>508</v>
      </c>
      <c r="C496" t="s">
        <v>820</v>
      </c>
      <c r="D496" t="s">
        <v>8</v>
      </c>
      <c r="E496">
        <v>5</v>
      </c>
      <c r="F496" t="str">
        <f>+CHOOSE(Tbl_2021[[#This Row],[Type of Service]],"PEST","Disinfe","Rodent","Bird","Termite")</f>
        <v>Termite</v>
      </c>
      <c r="G496">
        <v>16</v>
      </c>
      <c r="H496" s="4">
        <f>+CHOOSE(Tbl_2021[[#This Row],[Type of Service]],2020,3500,3200,4100,5300)*Tbl_2021[[#This Row],[No of Visits]]</f>
        <v>84800</v>
      </c>
    </row>
    <row r="497" spans="2:8" x14ac:dyDescent="0.3">
      <c r="B497" t="s">
        <v>509</v>
      </c>
      <c r="C497" t="s">
        <v>1117</v>
      </c>
      <c r="D497" t="s">
        <v>10</v>
      </c>
      <c r="E497">
        <v>1</v>
      </c>
      <c r="F497" t="str">
        <f>+CHOOSE(Tbl_2021[[#This Row],[Type of Service]],"PEST","Disinfe","Rodent","Bird","Termite")</f>
        <v>PEST</v>
      </c>
      <c r="G497">
        <v>29</v>
      </c>
      <c r="H497" s="4">
        <f>+CHOOSE(Tbl_2021[[#This Row],[Type of Service]],2020,3500,3200,4100,5300)*Tbl_2021[[#This Row],[No of Visits]]</f>
        <v>58580</v>
      </c>
    </row>
    <row r="498" spans="2:8" x14ac:dyDescent="0.3">
      <c r="B498" t="s">
        <v>510</v>
      </c>
      <c r="C498" t="s">
        <v>1118</v>
      </c>
      <c r="D498" t="s">
        <v>12</v>
      </c>
      <c r="E498">
        <v>1</v>
      </c>
      <c r="F498" t="str">
        <f>+CHOOSE(Tbl_2021[[#This Row],[Type of Service]],"PEST","Disinfe","Rodent","Bird","Termite")</f>
        <v>PEST</v>
      </c>
      <c r="G498">
        <v>29</v>
      </c>
      <c r="H498" s="4">
        <f>+CHOOSE(Tbl_2021[[#This Row],[Type of Service]],2020,3500,3200,4100,5300)*Tbl_2021[[#This Row],[No of Visits]]</f>
        <v>58580</v>
      </c>
    </row>
    <row r="499" spans="2:8" x14ac:dyDescent="0.3">
      <c r="B499" t="s">
        <v>511</v>
      </c>
      <c r="C499" t="s">
        <v>1119</v>
      </c>
      <c r="D499" t="s">
        <v>14</v>
      </c>
      <c r="E499">
        <v>5</v>
      </c>
      <c r="F499" t="str">
        <f>+CHOOSE(Tbl_2021[[#This Row],[Type of Service]],"PEST","Disinfe","Rodent","Bird","Termite")</f>
        <v>Termite</v>
      </c>
      <c r="G499">
        <v>9</v>
      </c>
      <c r="H499" s="4">
        <f>+CHOOSE(Tbl_2021[[#This Row],[Type of Service]],2020,3500,3200,4100,5300)*Tbl_2021[[#This Row],[No of Visits]]</f>
        <v>47700</v>
      </c>
    </row>
    <row r="500" spans="2:8" x14ac:dyDescent="0.3">
      <c r="B500" t="s">
        <v>512</v>
      </c>
      <c r="C500" t="s">
        <v>1120</v>
      </c>
      <c r="D500" t="s">
        <v>16</v>
      </c>
      <c r="E500">
        <v>4</v>
      </c>
      <c r="F500" t="str">
        <f>+CHOOSE(Tbl_2021[[#This Row],[Type of Service]],"PEST","Disinfe","Rodent","Bird","Termite")</f>
        <v>Bird</v>
      </c>
      <c r="G500">
        <v>17</v>
      </c>
      <c r="H500" s="4">
        <f>+CHOOSE(Tbl_2021[[#This Row],[Type of Service]],2020,3500,3200,4100,5300)*Tbl_2021[[#This Row],[No of Visits]]</f>
        <v>69700</v>
      </c>
    </row>
    <row r="501" spans="2:8" x14ac:dyDescent="0.3">
      <c r="B501" t="s">
        <v>513</v>
      </c>
      <c r="C501" t="s">
        <v>976</v>
      </c>
      <c r="D501" t="s">
        <v>4</v>
      </c>
      <c r="E501">
        <v>2</v>
      </c>
      <c r="F501" t="str">
        <f>+CHOOSE(Tbl_2021[[#This Row],[Type of Service]],"PEST","Disinfe","Rodent","Bird","Termite")</f>
        <v>Disinfe</v>
      </c>
      <c r="G501">
        <v>11</v>
      </c>
      <c r="H501" s="4">
        <f>+CHOOSE(Tbl_2021[[#This Row],[Type of Service]],2020,3500,3200,4100,5300)*Tbl_2021[[#This Row],[No of Visits]]</f>
        <v>38500</v>
      </c>
    </row>
    <row r="502" spans="2:8" x14ac:dyDescent="0.3">
      <c r="B502" t="s">
        <v>514</v>
      </c>
      <c r="C502" t="s">
        <v>1121</v>
      </c>
      <c r="D502" t="s">
        <v>6</v>
      </c>
      <c r="E502">
        <v>4</v>
      </c>
      <c r="F502" t="str">
        <f>+CHOOSE(Tbl_2021[[#This Row],[Type of Service]],"PEST","Disinfe","Rodent","Bird","Termite")</f>
        <v>Bird</v>
      </c>
      <c r="G502">
        <v>22</v>
      </c>
      <c r="H502" s="4">
        <f>+CHOOSE(Tbl_2021[[#This Row],[Type of Service]],2020,3500,3200,4100,5300)*Tbl_2021[[#This Row],[No of Visits]]</f>
        <v>90200</v>
      </c>
    </row>
    <row r="503" spans="2:8" x14ac:dyDescent="0.3">
      <c r="B503" t="s">
        <v>515</v>
      </c>
      <c r="C503" t="s">
        <v>1122</v>
      </c>
      <c r="D503" t="s">
        <v>8</v>
      </c>
      <c r="E503">
        <v>4</v>
      </c>
      <c r="F503" t="str">
        <f>+CHOOSE(Tbl_2021[[#This Row],[Type of Service]],"PEST","Disinfe","Rodent","Bird","Termite")</f>
        <v>Bird</v>
      </c>
      <c r="G503">
        <v>20</v>
      </c>
      <c r="H503" s="4">
        <f>+CHOOSE(Tbl_2021[[#This Row],[Type of Service]],2020,3500,3200,4100,5300)*Tbl_2021[[#This Row],[No of Visits]]</f>
        <v>82000</v>
      </c>
    </row>
    <row r="504" spans="2:8" x14ac:dyDescent="0.3">
      <c r="B504" t="s">
        <v>516</v>
      </c>
      <c r="C504" t="s">
        <v>1123</v>
      </c>
      <c r="D504" t="s">
        <v>10</v>
      </c>
      <c r="E504">
        <v>4</v>
      </c>
      <c r="F504" t="str">
        <f>+CHOOSE(Tbl_2021[[#This Row],[Type of Service]],"PEST","Disinfe","Rodent","Bird","Termite")</f>
        <v>Bird</v>
      </c>
      <c r="G504">
        <v>22</v>
      </c>
      <c r="H504" s="4">
        <f>+CHOOSE(Tbl_2021[[#This Row],[Type of Service]],2020,3500,3200,4100,5300)*Tbl_2021[[#This Row],[No of Visits]]</f>
        <v>90200</v>
      </c>
    </row>
    <row r="505" spans="2:8" x14ac:dyDescent="0.3">
      <c r="B505" t="s">
        <v>517</v>
      </c>
      <c r="C505" t="s">
        <v>1124</v>
      </c>
      <c r="D505" t="s">
        <v>12</v>
      </c>
      <c r="E505">
        <v>1</v>
      </c>
      <c r="F505" t="str">
        <f>+CHOOSE(Tbl_2021[[#This Row],[Type of Service]],"PEST","Disinfe","Rodent","Bird","Termite")</f>
        <v>PEST</v>
      </c>
      <c r="G505">
        <v>3</v>
      </c>
      <c r="H505" s="4">
        <f>+CHOOSE(Tbl_2021[[#This Row],[Type of Service]],2020,3500,3200,4100,5300)*Tbl_2021[[#This Row],[No of Visits]]</f>
        <v>6060</v>
      </c>
    </row>
    <row r="506" spans="2:8" x14ac:dyDescent="0.3">
      <c r="B506" t="s">
        <v>518</v>
      </c>
      <c r="C506" t="s">
        <v>951</v>
      </c>
      <c r="D506" t="s">
        <v>14</v>
      </c>
      <c r="E506">
        <v>4</v>
      </c>
      <c r="F506" t="str">
        <f>+CHOOSE(Tbl_2021[[#This Row],[Type of Service]],"PEST","Disinfe","Rodent","Bird","Termite")</f>
        <v>Bird</v>
      </c>
      <c r="G506">
        <v>36</v>
      </c>
      <c r="H506" s="4">
        <f>+CHOOSE(Tbl_2021[[#This Row],[Type of Service]],2020,3500,3200,4100,5300)*Tbl_2021[[#This Row],[No of Visits]]</f>
        <v>147600</v>
      </c>
    </row>
    <row r="507" spans="2:8" x14ac:dyDescent="0.3">
      <c r="B507" t="s">
        <v>519</v>
      </c>
      <c r="C507" t="s">
        <v>1036</v>
      </c>
      <c r="D507" t="s">
        <v>16</v>
      </c>
      <c r="E507">
        <v>2</v>
      </c>
      <c r="F507" t="str">
        <f>+CHOOSE(Tbl_2021[[#This Row],[Type of Service]],"PEST","Disinfe","Rodent","Bird","Termite")</f>
        <v>Disinfe</v>
      </c>
      <c r="G507">
        <v>32</v>
      </c>
      <c r="H507" s="4">
        <f>+CHOOSE(Tbl_2021[[#This Row],[Type of Service]],2020,3500,3200,4100,5300)*Tbl_2021[[#This Row],[No of Visits]]</f>
        <v>112000</v>
      </c>
    </row>
    <row r="508" spans="2:8" x14ac:dyDescent="0.3">
      <c r="B508" t="s">
        <v>520</v>
      </c>
      <c r="C508" t="s">
        <v>815</v>
      </c>
      <c r="D508" t="s">
        <v>4</v>
      </c>
      <c r="E508">
        <v>4</v>
      </c>
      <c r="F508" t="str">
        <f>+CHOOSE(Tbl_2021[[#This Row],[Type of Service]],"PEST","Disinfe","Rodent","Bird","Termite")</f>
        <v>Bird</v>
      </c>
      <c r="G508">
        <v>7</v>
      </c>
      <c r="H508" s="4">
        <f>+CHOOSE(Tbl_2021[[#This Row],[Type of Service]],2020,3500,3200,4100,5300)*Tbl_2021[[#This Row],[No of Visits]]</f>
        <v>28700</v>
      </c>
    </row>
    <row r="509" spans="2:8" x14ac:dyDescent="0.3">
      <c r="B509" t="s">
        <v>521</v>
      </c>
      <c r="C509" t="s">
        <v>1125</v>
      </c>
      <c r="D509" t="s">
        <v>6</v>
      </c>
      <c r="E509">
        <v>2</v>
      </c>
      <c r="F509" t="str">
        <f>+CHOOSE(Tbl_2021[[#This Row],[Type of Service]],"PEST","Disinfe","Rodent","Bird","Termite")</f>
        <v>Disinfe</v>
      </c>
      <c r="G509">
        <v>27</v>
      </c>
      <c r="H509" s="4">
        <f>+CHOOSE(Tbl_2021[[#This Row],[Type of Service]],2020,3500,3200,4100,5300)*Tbl_2021[[#This Row],[No of Visits]]</f>
        <v>94500</v>
      </c>
    </row>
    <row r="510" spans="2:8" x14ac:dyDescent="0.3">
      <c r="B510" t="s">
        <v>522</v>
      </c>
      <c r="C510" t="s">
        <v>1126</v>
      </c>
      <c r="D510" t="s">
        <v>8</v>
      </c>
      <c r="E510">
        <v>4</v>
      </c>
      <c r="F510" t="str">
        <f>+CHOOSE(Tbl_2021[[#This Row],[Type of Service]],"PEST","Disinfe","Rodent","Bird","Termite")</f>
        <v>Bird</v>
      </c>
      <c r="G510">
        <v>3</v>
      </c>
      <c r="H510" s="4">
        <f>+CHOOSE(Tbl_2021[[#This Row],[Type of Service]],2020,3500,3200,4100,5300)*Tbl_2021[[#This Row],[No of Visits]]</f>
        <v>12300</v>
      </c>
    </row>
    <row r="511" spans="2:8" x14ac:dyDescent="0.3">
      <c r="B511" t="s">
        <v>523</v>
      </c>
      <c r="C511" t="s">
        <v>1127</v>
      </c>
      <c r="D511" t="s">
        <v>10</v>
      </c>
      <c r="E511">
        <v>4</v>
      </c>
      <c r="F511" t="str">
        <f>+CHOOSE(Tbl_2021[[#This Row],[Type of Service]],"PEST","Disinfe","Rodent","Bird","Termite")</f>
        <v>Bird</v>
      </c>
      <c r="G511">
        <v>5</v>
      </c>
      <c r="H511" s="4">
        <f>+CHOOSE(Tbl_2021[[#This Row],[Type of Service]],2020,3500,3200,4100,5300)*Tbl_2021[[#This Row],[No of Visits]]</f>
        <v>20500</v>
      </c>
    </row>
    <row r="512" spans="2:8" x14ac:dyDescent="0.3">
      <c r="B512" t="s">
        <v>524</v>
      </c>
      <c r="C512" t="s">
        <v>1128</v>
      </c>
      <c r="D512" t="s">
        <v>12</v>
      </c>
      <c r="E512">
        <v>2</v>
      </c>
      <c r="F512" t="str">
        <f>+CHOOSE(Tbl_2021[[#This Row],[Type of Service]],"PEST","Disinfe","Rodent","Bird","Termite")</f>
        <v>Disinfe</v>
      </c>
      <c r="G512">
        <v>1</v>
      </c>
      <c r="H512" s="4">
        <f>+CHOOSE(Tbl_2021[[#This Row],[Type of Service]],2020,3500,3200,4100,5300)*Tbl_2021[[#This Row],[No of Visits]]</f>
        <v>3500</v>
      </c>
    </row>
    <row r="513" spans="2:8" x14ac:dyDescent="0.3">
      <c r="B513" t="s">
        <v>525</v>
      </c>
      <c r="C513" t="s">
        <v>1129</v>
      </c>
      <c r="D513" t="s">
        <v>14</v>
      </c>
      <c r="E513">
        <v>4</v>
      </c>
      <c r="F513" t="str">
        <f>+CHOOSE(Tbl_2021[[#This Row],[Type of Service]],"PEST","Disinfe","Rodent","Bird","Termite")</f>
        <v>Bird</v>
      </c>
      <c r="G513">
        <v>19</v>
      </c>
      <c r="H513" s="4">
        <f>+CHOOSE(Tbl_2021[[#This Row],[Type of Service]],2020,3500,3200,4100,5300)*Tbl_2021[[#This Row],[No of Visits]]</f>
        <v>77900</v>
      </c>
    </row>
    <row r="514" spans="2:8" x14ac:dyDescent="0.3">
      <c r="B514" t="s">
        <v>526</v>
      </c>
      <c r="C514" t="s">
        <v>1130</v>
      </c>
      <c r="D514" t="s">
        <v>16</v>
      </c>
      <c r="E514">
        <v>5</v>
      </c>
      <c r="F514" t="str">
        <f>+CHOOSE(Tbl_2021[[#This Row],[Type of Service]],"PEST","Disinfe","Rodent","Bird","Termite")</f>
        <v>Termite</v>
      </c>
      <c r="G514">
        <v>36</v>
      </c>
      <c r="H514" s="4">
        <f>+CHOOSE(Tbl_2021[[#This Row],[Type of Service]],2020,3500,3200,4100,5300)*Tbl_2021[[#This Row],[No of Visits]]</f>
        <v>190800</v>
      </c>
    </row>
    <row r="515" spans="2:8" x14ac:dyDescent="0.3">
      <c r="B515" t="s">
        <v>527</v>
      </c>
      <c r="C515" t="s">
        <v>1131</v>
      </c>
      <c r="D515" t="s">
        <v>4</v>
      </c>
      <c r="E515">
        <v>1</v>
      </c>
      <c r="F515" t="str">
        <f>+CHOOSE(Tbl_2021[[#This Row],[Type of Service]],"PEST","Disinfe","Rodent","Bird","Termite")</f>
        <v>PEST</v>
      </c>
      <c r="G515">
        <v>3</v>
      </c>
      <c r="H515" s="4">
        <f>+CHOOSE(Tbl_2021[[#This Row],[Type of Service]],2020,3500,3200,4100,5300)*Tbl_2021[[#This Row],[No of Visits]]</f>
        <v>6060</v>
      </c>
    </row>
    <row r="516" spans="2:8" x14ac:dyDescent="0.3">
      <c r="B516" t="s">
        <v>528</v>
      </c>
      <c r="C516" t="s">
        <v>1132</v>
      </c>
      <c r="D516" t="s">
        <v>6</v>
      </c>
      <c r="E516">
        <v>5</v>
      </c>
      <c r="F516" t="str">
        <f>+CHOOSE(Tbl_2021[[#This Row],[Type of Service]],"PEST","Disinfe","Rodent","Bird","Termite")</f>
        <v>Termite</v>
      </c>
      <c r="G516">
        <v>21</v>
      </c>
      <c r="H516" s="4">
        <f>+CHOOSE(Tbl_2021[[#This Row],[Type of Service]],2020,3500,3200,4100,5300)*Tbl_2021[[#This Row],[No of Visits]]</f>
        <v>111300</v>
      </c>
    </row>
    <row r="517" spans="2:8" x14ac:dyDescent="0.3">
      <c r="B517" t="s">
        <v>529</v>
      </c>
      <c r="C517" t="s">
        <v>809</v>
      </c>
      <c r="D517" t="s">
        <v>8</v>
      </c>
      <c r="E517">
        <v>4</v>
      </c>
      <c r="F517" t="str">
        <f>+CHOOSE(Tbl_2021[[#This Row],[Type of Service]],"PEST","Disinfe","Rodent","Bird","Termite")</f>
        <v>Bird</v>
      </c>
      <c r="G517">
        <v>17</v>
      </c>
      <c r="H517" s="4">
        <f>+CHOOSE(Tbl_2021[[#This Row],[Type of Service]],2020,3500,3200,4100,5300)*Tbl_2021[[#This Row],[No of Visits]]</f>
        <v>69700</v>
      </c>
    </row>
    <row r="518" spans="2:8" x14ac:dyDescent="0.3">
      <c r="B518" t="s">
        <v>530</v>
      </c>
      <c r="C518" t="s">
        <v>1133</v>
      </c>
      <c r="D518" t="s">
        <v>10</v>
      </c>
      <c r="E518">
        <v>5</v>
      </c>
      <c r="F518" t="str">
        <f>+CHOOSE(Tbl_2021[[#This Row],[Type of Service]],"PEST","Disinfe","Rodent","Bird","Termite")</f>
        <v>Termite</v>
      </c>
      <c r="G518">
        <v>13</v>
      </c>
      <c r="H518" s="4">
        <f>+CHOOSE(Tbl_2021[[#This Row],[Type of Service]],2020,3500,3200,4100,5300)*Tbl_2021[[#This Row],[No of Visits]]</f>
        <v>68900</v>
      </c>
    </row>
    <row r="519" spans="2:8" x14ac:dyDescent="0.3">
      <c r="B519" t="s">
        <v>531</v>
      </c>
      <c r="C519" t="s">
        <v>1134</v>
      </c>
      <c r="D519" t="s">
        <v>12</v>
      </c>
      <c r="E519">
        <v>1</v>
      </c>
      <c r="F519" t="str">
        <f>+CHOOSE(Tbl_2021[[#This Row],[Type of Service]],"PEST","Disinfe","Rodent","Bird","Termite")</f>
        <v>PEST</v>
      </c>
      <c r="G519">
        <v>35</v>
      </c>
      <c r="H519" s="4">
        <f>+CHOOSE(Tbl_2021[[#This Row],[Type of Service]],2020,3500,3200,4100,5300)*Tbl_2021[[#This Row],[No of Visits]]</f>
        <v>70700</v>
      </c>
    </row>
    <row r="520" spans="2:8" x14ac:dyDescent="0.3">
      <c r="B520" t="s">
        <v>532</v>
      </c>
      <c r="C520" t="s">
        <v>1135</v>
      </c>
      <c r="D520" t="s">
        <v>14</v>
      </c>
      <c r="E520">
        <v>2</v>
      </c>
      <c r="F520" t="str">
        <f>+CHOOSE(Tbl_2021[[#This Row],[Type of Service]],"PEST","Disinfe","Rodent","Bird","Termite")</f>
        <v>Disinfe</v>
      </c>
      <c r="G520">
        <v>19</v>
      </c>
      <c r="H520" s="4">
        <f>+CHOOSE(Tbl_2021[[#This Row],[Type of Service]],2020,3500,3200,4100,5300)*Tbl_2021[[#This Row],[No of Visits]]</f>
        <v>66500</v>
      </c>
    </row>
    <row r="521" spans="2:8" x14ac:dyDescent="0.3">
      <c r="B521" t="s">
        <v>533</v>
      </c>
      <c r="C521" t="s">
        <v>1039</v>
      </c>
      <c r="D521" t="s">
        <v>16</v>
      </c>
      <c r="E521">
        <v>2</v>
      </c>
      <c r="F521" t="str">
        <f>+CHOOSE(Tbl_2021[[#This Row],[Type of Service]],"PEST","Disinfe","Rodent","Bird","Termite")</f>
        <v>Disinfe</v>
      </c>
      <c r="G521">
        <v>2</v>
      </c>
      <c r="H521" s="4">
        <f>+CHOOSE(Tbl_2021[[#This Row],[Type of Service]],2020,3500,3200,4100,5300)*Tbl_2021[[#This Row],[No of Visits]]</f>
        <v>7000</v>
      </c>
    </row>
    <row r="522" spans="2:8" x14ac:dyDescent="0.3">
      <c r="B522" t="s">
        <v>534</v>
      </c>
      <c r="C522" t="s">
        <v>1136</v>
      </c>
      <c r="D522" t="s">
        <v>4</v>
      </c>
      <c r="E522">
        <v>1</v>
      </c>
      <c r="F522" t="str">
        <f>+CHOOSE(Tbl_2021[[#This Row],[Type of Service]],"PEST","Disinfe","Rodent","Bird","Termite")</f>
        <v>PEST</v>
      </c>
      <c r="G522">
        <v>32</v>
      </c>
      <c r="H522" s="4">
        <f>+CHOOSE(Tbl_2021[[#This Row],[Type of Service]],2020,3500,3200,4100,5300)*Tbl_2021[[#This Row],[No of Visits]]</f>
        <v>64640</v>
      </c>
    </row>
    <row r="523" spans="2:8" x14ac:dyDescent="0.3">
      <c r="B523" t="s">
        <v>535</v>
      </c>
      <c r="C523" t="s">
        <v>1137</v>
      </c>
      <c r="D523" t="s">
        <v>6</v>
      </c>
      <c r="E523">
        <v>2</v>
      </c>
      <c r="F523" t="str">
        <f>+CHOOSE(Tbl_2021[[#This Row],[Type of Service]],"PEST","Disinfe","Rodent","Bird","Termite")</f>
        <v>Disinfe</v>
      </c>
      <c r="G523">
        <v>10</v>
      </c>
      <c r="H523" s="4">
        <f>+CHOOSE(Tbl_2021[[#This Row],[Type of Service]],2020,3500,3200,4100,5300)*Tbl_2021[[#This Row],[No of Visits]]</f>
        <v>35000</v>
      </c>
    </row>
    <row r="524" spans="2:8" x14ac:dyDescent="0.3">
      <c r="B524" t="s">
        <v>536</v>
      </c>
      <c r="C524" t="s">
        <v>745</v>
      </c>
      <c r="D524" t="s">
        <v>8</v>
      </c>
      <c r="E524">
        <v>4</v>
      </c>
      <c r="F524" t="str">
        <f>+CHOOSE(Tbl_2021[[#This Row],[Type of Service]],"PEST","Disinfe","Rodent","Bird","Termite")</f>
        <v>Bird</v>
      </c>
      <c r="G524">
        <v>19</v>
      </c>
      <c r="H524" s="4">
        <f>+CHOOSE(Tbl_2021[[#This Row],[Type of Service]],2020,3500,3200,4100,5300)*Tbl_2021[[#This Row],[No of Visits]]</f>
        <v>77900</v>
      </c>
    </row>
    <row r="525" spans="2:8" x14ac:dyDescent="0.3">
      <c r="B525" t="s">
        <v>537</v>
      </c>
      <c r="C525" t="s">
        <v>817</v>
      </c>
      <c r="D525" t="s">
        <v>10</v>
      </c>
      <c r="E525">
        <v>2</v>
      </c>
      <c r="F525" t="str">
        <f>+CHOOSE(Tbl_2021[[#This Row],[Type of Service]],"PEST","Disinfe","Rodent","Bird","Termite")</f>
        <v>Disinfe</v>
      </c>
      <c r="G525">
        <v>14</v>
      </c>
      <c r="H525" s="4">
        <f>+CHOOSE(Tbl_2021[[#This Row],[Type of Service]],2020,3500,3200,4100,5300)*Tbl_2021[[#This Row],[No of Visits]]</f>
        <v>49000</v>
      </c>
    </row>
    <row r="526" spans="2:8" x14ac:dyDescent="0.3">
      <c r="B526" t="s">
        <v>538</v>
      </c>
      <c r="C526" t="s">
        <v>1138</v>
      </c>
      <c r="D526" t="s">
        <v>12</v>
      </c>
      <c r="E526">
        <v>1</v>
      </c>
      <c r="F526" t="str">
        <f>+CHOOSE(Tbl_2021[[#This Row],[Type of Service]],"PEST","Disinfe","Rodent","Bird","Termite")</f>
        <v>PEST</v>
      </c>
      <c r="G526">
        <v>17</v>
      </c>
      <c r="H526" s="4">
        <f>+CHOOSE(Tbl_2021[[#This Row],[Type of Service]],2020,3500,3200,4100,5300)*Tbl_2021[[#This Row],[No of Visits]]</f>
        <v>34340</v>
      </c>
    </row>
    <row r="527" spans="2:8" x14ac:dyDescent="0.3">
      <c r="B527" t="s">
        <v>539</v>
      </c>
      <c r="C527" t="s">
        <v>1139</v>
      </c>
      <c r="D527" t="s">
        <v>14</v>
      </c>
      <c r="E527">
        <v>5</v>
      </c>
      <c r="F527" t="str">
        <f>+CHOOSE(Tbl_2021[[#This Row],[Type of Service]],"PEST","Disinfe","Rodent","Bird","Termite")</f>
        <v>Termite</v>
      </c>
      <c r="G527">
        <v>8</v>
      </c>
      <c r="H527" s="4">
        <f>+CHOOSE(Tbl_2021[[#This Row],[Type of Service]],2020,3500,3200,4100,5300)*Tbl_2021[[#This Row],[No of Visits]]</f>
        <v>42400</v>
      </c>
    </row>
    <row r="528" spans="2:8" x14ac:dyDescent="0.3">
      <c r="B528" t="s">
        <v>540</v>
      </c>
      <c r="C528" t="s">
        <v>1140</v>
      </c>
      <c r="D528" t="s">
        <v>16</v>
      </c>
      <c r="E528">
        <v>2</v>
      </c>
      <c r="F528" t="str">
        <f>+CHOOSE(Tbl_2021[[#This Row],[Type of Service]],"PEST","Disinfe","Rodent","Bird","Termite")</f>
        <v>Disinfe</v>
      </c>
      <c r="G528">
        <v>35</v>
      </c>
      <c r="H528" s="4">
        <f>+CHOOSE(Tbl_2021[[#This Row],[Type of Service]],2020,3500,3200,4100,5300)*Tbl_2021[[#This Row],[No of Visits]]</f>
        <v>122500</v>
      </c>
    </row>
    <row r="529" spans="2:8" x14ac:dyDescent="0.3">
      <c r="B529" t="s">
        <v>541</v>
      </c>
      <c r="C529" t="s">
        <v>1141</v>
      </c>
      <c r="D529" t="s">
        <v>4</v>
      </c>
      <c r="E529">
        <v>2</v>
      </c>
      <c r="F529" t="str">
        <f>+CHOOSE(Tbl_2021[[#This Row],[Type of Service]],"PEST","Disinfe","Rodent","Bird","Termite")</f>
        <v>Disinfe</v>
      </c>
      <c r="G529">
        <v>13</v>
      </c>
      <c r="H529" s="4">
        <f>+CHOOSE(Tbl_2021[[#This Row],[Type of Service]],2020,3500,3200,4100,5300)*Tbl_2021[[#This Row],[No of Visits]]</f>
        <v>45500</v>
      </c>
    </row>
    <row r="530" spans="2:8" x14ac:dyDescent="0.3">
      <c r="B530" t="s">
        <v>542</v>
      </c>
      <c r="C530" t="s">
        <v>1142</v>
      </c>
      <c r="D530" t="s">
        <v>6</v>
      </c>
      <c r="E530">
        <v>1</v>
      </c>
      <c r="F530" t="str">
        <f>+CHOOSE(Tbl_2021[[#This Row],[Type of Service]],"PEST","Disinfe","Rodent","Bird","Termite")</f>
        <v>PEST</v>
      </c>
      <c r="G530">
        <v>3</v>
      </c>
      <c r="H530" s="4">
        <f>+CHOOSE(Tbl_2021[[#This Row],[Type of Service]],2020,3500,3200,4100,5300)*Tbl_2021[[#This Row],[No of Visits]]</f>
        <v>6060</v>
      </c>
    </row>
    <row r="531" spans="2:8" x14ac:dyDescent="0.3">
      <c r="B531" t="s">
        <v>543</v>
      </c>
      <c r="C531" t="s">
        <v>818</v>
      </c>
      <c r="D531" t="s">
        <v>8</v>
      </c>
      <c r="E531">
        <v>2</v>
      </c>
      <c r="F531" t="str">
        <f>+CHOOSE(Tbl_2021[[#This Row],[Type of Service]],"PEST","Disinfe","Rodent","Bird","Termite")</f>
        <v>Disinfe</v>
      </c>
      <c r="G531">
        <v>33</v>
      </c>
      <c r="H531" s="4">
        <f>+CHOOSE(Tbl_2021[[#This Row],[Type of Service]],2020,3500,3200,4100,5300)*Tbl_2021[[#This Row],[No of Visits]]</f>
        <v>115500</v>
      </c>
    </row>
    <row r="532" spans="2:8" x14ac:dyDescent="0.3">
      <c r="B532" t="s">
        <v>544</v>
      </c>
      <c r="C532" t="s">
        <v>1143</v>
      </c>
      <c r="D532" t="s">
        <v>10</v>
      </c>
      <c r="E532">
        <v>2</v>
      </c>
      <c r="F532" t="str">
        <f>+CHOOSE(Tbl_2021[[#This Row],[Type of Service]],"PEST","Disinfe","Rodent","Bird","Termite")</f>
        <v>Disinfe</v>
      </c>
      <c r="G532">
        <v>6</v>
      </c>
      <c r="H532" s="4">
        <f>+CHOOSE(Tbl_2021[[#This Row],[Type of Service]],2020,3500,3200,4100,5300)*Tbl_2021[[#This Row],[No of Visits]]</f>
        <v>21000</v>
      </c>
    </row>
    <row r="533" spans="2:8" x14ac:dyDescent="0.3">
      <c r="B533" t="s">
        <v>545</v>
      </c>
      <c r="C533" t="s">
        <v>1144</v>
      </c>
      <c r="D533" t="s">
        <v>12</v>
      </c>
      <c r="E533">
        <v>1</v>
      </c>
      <c r="F533" t="str">
        <f>+CHOOSE(Tbl_2021[[#This Row],[Type of Service]],"PEST","Disinfe","Rodent","Bird","Termite")</f>
        <v>PEST</v>
      </c>
      <c r="G533">
        <v>30</v>
      </c>
      <c r="H533" s="4">
        <f>+CHOOSE(Tbl_2021[[#This Row],[Type of Service]],2020,3500,3200,4100,5300)*Tbl_2021[[#This Row],[No of Visits]]</f>
        <v>60600</v>
      </c>
    </row>
    <row r="534" spans="2:8" x14ac:dyDescent="0.3">
      <c r="B534" t="s">
        <v>546</v>
      </c>
      <c r="C534" t="s">
        <v>976</v>
      </c>
      <c r="D534" t="s">
        <v>14</v>
      </c>
      <c r="E534">
        <v>5</v>
      </c>
      <c r="F534" t="str">
        <f>+CHOOSE(Tbl_2021[[#This Row],[Type of Service]],"PEST","Disinfe","Rodent","Bird","Termite")</f>
        <v>Termite</v>
      </c>
      <c r="G534">
        <v>9</v>
      </c>
      <c r="H534" s="4">
        <f>+CHOOSE(Tbl_2021[[#This Row],[Type of Service]],2020,3500,3200,4100,5300)*Tbl_2021[[#This Row],[No of Visits]]</f>
        <v>47700</v>
      </c>
    </row>
    <row r="535" spans="2:8" x14ac:dyDescent="0.3">
      <c r="B535" t="s">
        <v>547</v>
      </c>
      <c r="C535" t="s">
        <v>1145</v>
      </c>
      <c r="D535" t="s">
        <v>16</v>
      </c>
      <c r="E535">
        <v>5</v>
      </c>
      <c r="F535" t="str">
        <f>+CHOOSE(Tbl_2021[[#This Row],[Type of Service]],"PEST","Disinfe","Rodent","Bird","Termite")</f>
        <v>Termite</v>
      </c>
      <c r="G535">
        <v>9</v>
      </c>
      <c r="H535" s="4">
        <f>+CHOOSE(Tbl_2021[[#This Row],[Type of Service]],2020,3500,3200,4100,5300)*Tbl_2021[[#This Row],[No of Visits]]</f>
        <v>47700</v>
      </c>
    </row>
    <row r="536" spans="2:8" x14ac:dyDescent="0.3">
      <c r="B536" t="s">
        <v>548</v>
      </c>
      <c r="C536" t="s">
        <v>754</v>
      </c>
      <c r="D536" t="s">
        <v>4</v>
      </c>
      <c r="E536">
        <v>4</v>
      </c>
      <c r="F536" t="str">
        <f>+CHOOSE(Tbl_2021[[#This Row],[Type of Service]],"PEST","Disinfe","Rodent","Bird","Termite")</f>
        <v>Bird</v>
      </c>
      <c r="G536">
        <v>33</v>
      </c>
      <c r="H536" s="4">
        <f>+CHOOSE(Tbl_2021[[#This Row],[Type of Service]],2020,3500,3200,4100,5300)*Tbl_2021[[#This Row],[No of Visits]]</f>
        <v>135300</v>
      </c>
    </row>
    <row r="537" spans="2:8" x14ac:dyDescent="0.3">
      <c r="B537" t="s">
        <v>549</v>
      </c>
      <c r="C537" t="s">
        <v>793</v>
      </c>
      <c r="D537" t="s">
        <v>6</v>
      </c>
      <c r="E537">
        <v>5</v>
      </c>
      <c r="F537" t="str">
        <f>+CHOOSE(Tbl_2021[[#This Row],[Type of Service]],"PEST","Disinfe","Rodent","Bird","Termite")</f>
        <v>Termite</v>
      </c>
      <c r="G537">
        <v>22</v>
      </c>
      <c r="H537" s="4">
        <f>+CHOOSE(Tbl_2021[[#This Row],[Type of Service]],2020,3500,3200,4100,5300)*Tbl_2021[[#This Row],[No of Visits]]</f>
        <v>116600</v>
      </c>
    </row>
    <row r="538" spans="2:8" x14ac:dyDescent="0.3">
      <c r="B538" t="s">
        <v>550</v>
      </c>
      <c r="C538" t="s">
        <v>1146</v>
      </c>
      <c r="D538" t="s">
        <v>8</v>
      </c>
      <c r="E538">
        <v>4</v>
      </c>
      <c r="F538" t="str">
        <f>+CHOOSE(Tbl_2021[[#This Row],[Type of Service]],"PEST","Disinfe","Rodent","Bird","Termite")</f>
        <v>Bird</v>
      </c>
      <c r="G538">
        <v>25</v>
      </c>
      <c r="H538" s="4">
        <f>+CHOOSE(Tbl_2021[[#This Row],[Type of Service]],2020,3500,3200,4100,5300)*Tbl_2021[[#This Row],[No of Visits]]</f>
        <v>102500</v>
      </c>
    </row>
    <row r="539" spans="2:8" x14ac:dyDescent="0.3">
      <c r="B539" t="s">
        <v>551</v>
      </c>
      <c r="C539" t="s">
        <v>815</v>
      </c>
      <c r="D539" t="s">
        <v>10</v>
      </c>
      <c r="E539">
        <v>2</v>
      </c>
      <c r="F539" t="str">
        <f>+CHOOSE(Tbl_2021[[#This Row],[Type of Service]],"PEST","Disinfe","Rodent","Bird","Termite")</f>
        <v>Disinfe</v>
      </c>
      <c r="G539">
        <v>16</v>
      </c>
      <c r="H539" s="4">
        <f>+CHOOSE(Tbl_2021[[#This Row],[Type of Service]],2020,3500,3200,4100,5300)*Tbl_2021[[#This Row],[No of Visits]]</f>
        <v>56000</v>
      </c>
    </row>
    <row r="540" spans="2:8" x14ac:dyDescent="0.3">
      <c r="B540" t="s">
        <v>552</v>
      </c>
      <c r="C540" t="s">
        <v>1147</v>
      </c>
      <c r="D540" t="s">
        <v>12</v>
      </c>
      <c r="E540">
        <v>2</v>
      </c>
      <c r="F540" t="str">
        <f>+CHOOSE(Tbl_2021[[#This Row],[Type of Service]],"PEST","Disinfe","Rodent","Bird","Termite")</f>
        <v>Disinfe</v>
      </c>
      <c r="G540">
        <v>18</v>
      </c>
      <c r="H540" s="4">
        <f>+CHOOSE(Tbl_2021[[#This Row],[Type of Service]],2020,3500,3200,4100,5300)*Tbl_2021[[#This Row],[No of Visits]]</f>
        <v>63000</v>
      </c>
    </row>
    <row r="541" spans="2:8" x14ac:dyDescent="0.3">
      <c r="B541" t="s">
        <v>553</v>
      </c>
      <c r="C541" t="s">
        <v>997</v>
      </c>
      <c r="D541" t="s">
        <v>14</v>
      </c>
      <c r="E541">
        <v>2</v>
      </c>
      <c r="F541" t="str">
        <f>+CHOOSE(Tbl_2021[[#This Row],[Type of Service]],"PEST","Disinfe","Rodent","Bird","Termite")</f>
        <v>Disinfe</v>
      </c>
      <c r="G541">
        <v>3</v>
      </c>
      <c r="H541" s="4">
        <f>+CHOOSE(Tbl_2021[[#This Row],[Type of Service]],2020,3500,3200,4100,5300)*Tbl_2021[[#This Row],[No of Visits]]</f>
        <v>10500</v>
      </c>
    </row>
    <row r="542" spans="2:8" x14ac:dyDescent="0.3">
      <c r="B542" t="s">
        <v>554</v>
      </c>
      <c r="C542" t="s">
        <v>1148</v>
      </c>
      <c r="D542" t="s">
        <v>16</v>
      </c>
      <c r="E542">
        <v>5</v>
      </c>
      <c r="F542" t="str">
        <f>+CHOOSE(Tbl_2021[[#This Row],[Type of Service]],"PEST","Disinfe","Rodent","Bird","Termite")</f>
        <v>Termite</v>
      </c>
      <c r="G542">
        <v>10</v>
      </c>
      <c r="H542" s="4">
        <f>+CHOOSE(Tbl_2021[[#This Row],[Type of Service]],2020,3500,3200,4100,5300)*Tbl_2021[[#This Row],[No of Visits]]</f>
        <v>53000</v>
      </c>
    </row>
    <row r="543" spans="2:8" x14ac:dyDescent="0.3">
      <c r="B543" t="s">
        <v>555</v>
      </c>
      <c r="C543" t="s">
        <v>1149</v>
      </c>
      <c r="D543" t="s">
        <v>4</v>
      </c>
      <c r="E543">
        <v>5</v>
      </c>
      <c r="F543" t="str">
        <f>+CHOOSE(Tbl_2021[[#This Row],[Type of Service]],"PEST","Disinfe","Rodent","Bird","Termite")</f>
        <v>Termite</v>
      </c>
      <c r="G543">
        <v>12</v>
      </c>
      <c r="H543" s="4">
        <f>+CHOOSE(Tbl_2021[[#This Row],[Type of Service]],2020,3500,3200,4100,5300)*Tbl_2021[[#This Row],[No of Visits]]</f>
        <v>63600</v>
      </c>
    </row>
    <row r="544" spans="2:8" x14ac:dyDescent="0.3">
      <c r="B544" t="s">
        <v>556</v>
      </c>
      <c r="C544" t="s">
        <v>1150</v>
      </c>
      <c r="D544" t="s">
        <v>6</v>
      </c>
      <c r="E544">
        <v>4</v>
      </c>
      <c r="F544" t="str">
        <f>+CHOOSE(Tbl_2021[[#This Row],[Type of Service]],"PEST","Disinfe","Rodent","Bird","Termite")</f>
        <v>Bird</v>
      </c>
      <c r="G544">
        <v>2</v>
      </c>
      <c r="H544" s="4">
        <f>+CHOOSE(Tbl_2021[[#This Row],[Type of Service]],2020,3500,3200,4100,5300)*Tbl_2021[[#This Row],[No of Visits]]</f>
        <v>8200</v>
      </c>
    </row>
    <row r="545" spans="2:8" x14ac:dyDescent="0.3">
      <c r="B545" t="s">
        <v>557</v>
      </c>
      <c r="C545" t="s">
        <v>1151</v>
      </c>
      <c r="D545" t="s">
        <v>8</v>
      </c>
      <c r="E545">
        <v>4</v>
      </c>
      <c r="F545" t="str">
        <f>+CHOOSE(Tbl_2021[[#This Row],[Type of Service]],"PEST","Disinfe","Rodent","Bird","Termite")</f>
        <v>Bird</v>
      </c>
      <c r="G545">
        <v>5</v>
      </c>
      <c r="H545" s="4">
        <f>+CHOOSE(Tbl_2021[[#This Row],[Type of Service]],2020,3500,3200,4100,5300)*Tbl_2021[[#This Row],[No of Visits]]</f>
        <v>20500</v>
      </c>
    </row>
    <row r="546" spans="2:8" x14ac:dyDescent="0.3">
      <c r="B546" t="s">
        <v>558</v>
      </c>
      <c r="C546" t="s">
        <v>1152</v>
      </c>
      <c r="D546" t="s">
        <v>10</v>
      </c>
      <c r="E546">
        <v>4</v>
      </c>
      <c r="F546" t="str">
        <f>+CHOOSE(Tbl_2021[[#This Row],[Type of Service]],"PEST","Disinfe","Rodent","Bird","Termite")</f>
        <v>Bird</v>
      </c>
      <c r="G546">
        <v>16</v>
      </c>
      <c r="H546" s="4">
        <f>+CHOOSE(Tbl_2021[[#This Row],[Type of Service]],2020,3500,3200,4100,5300)*Tbl_2021[[#This Row],[No of Visits]]</f>
        <v>65600</v>
      </c>
    </row>
    <row r="547" spans="2:8" x14ac:dyDescent="0.3">
      <c r="B547" t="s">
        <v>559</v>
      </c>
      <c r="C547" t="s">
        <v>1153</v>
      </c>
      <c r="D547" t="s">
        <v>12</v>
      </c>
      <c r="E547">
        <v>1</v>
      </c>
      <c r="F547" t="str">
        <f>+CHOOSE(Tbl_2021[[#This Row],[Type of Service]],"PEST","Disinfe","Rodent","Bird","Termite")</f>
        <v>PEST</v>
      </c>
      <c r="G547">
        <v>2</v>
      </c>
      <c r="H547" s="4">
        <f>+CHOOSE(Tbl_2021[[#This Row],[Type of Service]],2020,3500,3200,4100,5300)*Tbl_2021[[#This Row],[No of Visits]]</f>
        <v>4040</v>
      </c>
    </row>
    <row r="548" spans="2:8" x14ac:dyDescent="0.3">
      <c r="B548" t="s">
        <v>560</v>
      </c>
      <c r="C548" t="s">
        <v>1154</v>
      </c>
      <c r="D548" t="s">
        <v>14</v>
      </c>
      <c r="E548">
        <v>1</v>
      </c>
      <c r="F548" t="str">
        <f>+CHOOSE(Tbl_2021[[#This Row],[Type of Service]],"PEST","Disinfe","Rodent","Bird","Termite")</f>
        <v>PEST</v>
      </c>
      <c r="G548">
        <v>21</v>
      </c>
      <c r="H548" s="4">
        <f>+CHOOSE(Tbl_2021[[#This Row],[Type of Service]],2020,3500,3200,4100,5300)*Tbl_2021[[#This Row],[No of Visits]]</f>
        <v>42420</v>
      </c>
    </row>
    <row r="549" spans="2:8" x14ac:dyDescent="0.3">
      <c r="B549" t="s">
        <v>561</v>
      </c>
      <c r="C549" t="s">
        <v>1155</v>
      </c>
      <c r="D549" t="s">
        <v>16</v>
      </c>
      <c r="E549">
        <v>5</v>
      </c>
      <c r="F549" t="str">
        <f>+CHOOSE(Tbl_2021[[#This Row],[Type of Service]],"PEST","Disinfe","Rodent","Bird","Termite")</f>
        <v>Termite</v>
      </c>
      <c r="G549">
        <v>25</v>
      </c>
      <c r="H549" s="4">
        <f>+CHOOSE(Tbl_2021[[#This Row],[Type of Service]],2020,3500,3200,4100,5300)*Tbl_2021[[#This Row],[No of Visits]]</f>
        <v>132500</v>
      </c>
    </row>
    <row r="550" spans="2:8" x14ac:dyDescent="0.3">
      <c r="B550" t="s">
        <v>562</v>
      </c>
      <c r="C550" t="s">
        <v>1156</v>
      </c>
      <c r="D550" t="s">
        <v>4</v>
      </c>
      <c r="E550">
        <v>5</v>
      </c>
      <c r="F550" t="str">
        <f>+CHOOSE(Tbl_2021[[#This Row],[Type of Service]],"PEST","Disinfe","Rodent","Bird","Termite")</f>
        <v>Termite</v>
      </c>
      <c r="G550">
        <v>29</v>
      </c>
      <c r="H550" s="4">
        <f>+CHOOSE(Tbl_2021[[#This Row],[Type of Service]],2020,3500,3200,4100,5300)*Tbl_2021[[#This Row],[No of Visits]]</f>
        <v>153700</v>
      </c>
    </row>
    <row r="551" spans="2:8" x14ac:dyDescent="0.3">
      <c r="B551" t="s">
        <v>563</v>
      </c>
      <c r="C551" t="s">
        <v>1157</v>
      </c>
      <c r="D551" t="s">
        <v>6</v>
      </c>
      <c r="E551">
        <v>4</v>
      </c>
      <c r="F551" t="str">
        <f>+CHOOSE(Tbl_2021[[#This Row],[Type of Service]],"PEST","Disinfe","Rodent","Bird","Termite")</f>
        <v>Bird</v>
      </c>
      <c r="G551">
        <v>4</v>
      </c>
      <c r="H551" s="4">
        <f>+CHOOSE(Tbl_2021[[#This Row],[Type of Service]],2020,3500,3200,4100,5300)*Tbl_2021[[#This Row],[No of Visits]]</f>
        <v>16400</v>
      </c>
    </row>
    <row r="552" spans="2:8" x14ac:dyDescent="0.3">
      <c r="B552" t="s">
        <v>564</v>
      </c>
      <c r="C552" t="s">
        <v>1158</v>
      </c>
      <c r="D552" t="s">
        <v>8</v>
      </c>
      <c r="E552">
        <v>4</v>
      </c>
      <c r="F552" t="str">
        <f>+CHOOSE(Tbl_2021[[#This Row],[Type of Service]],"PEST","Disinfe","Rodent","Bird","Termite")</f>
        <v>Bird</v>
      </c>
      <c r="G552">
        <v>22</v>
      </c>
      <c r="H552" s="4">
        <f>+CHOOSE(Tbl_2021[[#This Row],[Type of Service]],2020,3500,3200,4100,5300)*Tbl_2021[[#This Row],[No of Visits]]</f>
        <v>90200</v>
      </c>
    </row>
    <row r="553" spans="2:8" x14ac:dyDescent="0.3">
      <c r="B553" t="s">
        <v>565</v>
      </c>
      <c r="C553" t="s">
        <v>1107</v>
      </c>
      <c r="D553" t="s">
        <v>10</v>
      </c>
      <c r="E553">
        <v>2</v>
      </c>
      <c r="F553" t="str">
        <f>+CHOOSE(Tbl_2021[[#This Row],[Type of Service]],"PEST","Disinfe","Rodent","Bird","Termite")</f>
        <v>Disinfe</v>
      </c>
      <c r="G553">
        <v>28</v>
      </c>
      <c r="H553" s="4">
        <f>+CHOOSE(Tbl_2021[[#This Row],[Type of Service]],2020,3500,3200,4100,5300)*Tbl_2021[[#This Row],[No of Visits]]</f>
        <v>98000</v>
      </c>
    </row>
    <row r="554" spans="2:8" x14ac:dyDescent="0.3">
      <c r="B554" t="s">
        <v>566</v>
      </c>
      <c r="C554" t="s">
        <v>1159</v>
      </c>
      <c r="D554" t="s">
        <v>12</v>
      </c>
      <c r="E554">
        <v>4</v>
      </c>
      <c r="F554" t="str">
        <f>+CHOOSE(Tbl_2021[[#This Row],[Type of Service]],"PEST","Disinfe","Rodent","Bird","Termite")</f>
        <v>Bird</v>
      </c>
      <c r="G554">
        <v>4</v>
      </c>
      <c r="H554" s="4">
        <f>+CHOOSE(Tbl_2021[[#This Row],[Type of Service]],2020,3500,3200,4100,5300)*Tbl_2021[[#This Row],[No of Visits]]</f>
        <v>16400</v>
      </c>
    </row>
    <row r="555" spans="2:8" x14ac:dyDescent="0.3">
      <c r="B555" t="s">
        <v>567</v>
      </c>
      <c r="C555" t="s">
        <v>966</v>
      </c>
      <c r="D555" t="s">
        <v>14</v>
      </c>
      <c r="E555">
        <v>1</v>
      </c>
      <c r="F555" t="str">
        <f>+CHOOSE(Tbl_2021[[#This Row],[Type of Service]],"PEST","Disinfe","Rodent","Bird","Termite")</f>
        <v>PEST</v>
      </c>
      <c r="G555">
        <v>19</v>
      </c>
      <c r="H555" s="4">
        <f>+CHOOSE(Tbl_2021[[#This Row],[Type of Service]],2020,3500,3200,4100,5300)*Tbl_2021[[#This Row],[No of Visits]]</f>
        <v>38380</v>
      </c>
    </row>
    <row r="556" spans="2:8" x14ac:dyDescent="0.3">
      <c r="B556" t="s">
        <v>568</v>
      </c>
      <c r="C556" t="s">
        <v>1160</v>
      </c>
      <c r="D556" t="s">
        <v>16</v>
      </c>
      <c r="E556">
        <v>5</v>
      </c>
      <c r="F556" t="str">
        <f>+CHOOSE(Tbl_2021[[#This Row],[Type of Service]],"PEST","Disinfe","Rodent","Bird","Termite")</f>
        <v>Termite</v>
      </c>
      <c r="G556">
        <v>36</v>
      </c>
      <c r="H556" s="4">
        <f>+CHOOSE(Tbl_2021[[#This Row],[Type of Service]],2020,3500,3200,4100,5300)*Tbl_2021[[#This Row],[No of Visits]]</f>
        <v>190800</v>
      </c>
    </row>
    <row r="557" spans="2:8" x14ac:dyDescent="0.3">
      <c r="B557" t="s">
        <v>569</v>
      </c>
      <c r="C557" t="s">
        <v>1161</v>
      </c>
      <c r="D557" t="s">
        <v>4</v>
      </c>
      <c r="E557">
        <v>5</v>
      </c>
      <c r="F557" t="str">
        <f>+CHOOSE(Tbl_2021[[#This Row],[Type of Service]],"PEST","Disinfe","Rodent","Bird","Termite")</f>
        <v>Termite</v>
      </c>
      <c r="G557">
        <v>12</v>
      </c>
      <c r="H557" s="4">
        <f>+CHOOSE(Tbl_2021[[#This Row],[Type of Service]],2020,3500,3200,4100,5300)*Tbl_2021[[#This Row],[No of Visits]]</f>
        <v>63600</v>
      </c>
    </row>
    <row r="558" spans="2:8" x14ac:dyDescent="0.3">
      <c r="B558" t="s">
        <v>570</v>
      </c>
      <c r="C558" t="s">
        <v>1162</v>
      </c>
      <c r="D558" t="s">
        <v>6</v>
      </c>
      <c r="E558">
        <v>5</v>
      </c>
      <c r="F558" t="str">
        <f>+CHOOSE(Tbl_2021[[#This Row],[Type of Service]],"PEST","Disinfe","Rodent","Bird","Termite")</f>
        <v>Termite</v>
      </c>
      <c r="G558">
        <v>13</v>
      </c>
      <c r="H558" s="4">
        <f>+CHOOSE(Tbl_2021[[#This Row],[Type of Service]],2020,3500,3200,4100,5300)*Tbl_2021[[#This Row],[No of Visits]]</f>
        <v>68900</v>
      </c>
    </row>
    <row r="559" spans="2:8" x14ac:dyDescent="0.3">
      <c r="B559" t="s">
        <v>571</v>
      </c>
      <c r="C559" t="s">
        <v>1048</v>
      </c>
      <c r="D559" t="s">
        <v>8</v>
      </c>
      <c r="E559">
        <v>1</v>
      </c>
      <c r="F559" t="str">
        <f>+CHOOSE(Tbl_2021[[#This Row],[Type of Service]],"PEST","Disinfe","Rodent","Bird","Termite")</f>
        <v>PEST</v>
      </c>
      <c r="G559">
        <v>25</v>
      </c>
      <c r="H559" s="4">
        <f>+CHOOSE(Tbl_2021[[#This Row],[Type of Service]],2020,3500,3200,4100,5300)*Tbl_2021[[#This Row],[No of Visits]]</f>
        <v>50500</v>
      </c>
    </row>
    <row r="560" spans="2:8" x14ac:dyDescent="0.3">
      <c r="B560" t="s">
        <v>572</v>
      </c>
      <c r="C560" t="s">
        <v>1163</v>
      </c>
      <c r="D560" t="s">
        <v>10</v>
      </c>
      <c r="E560">
        <v>5</v>
      </c>
      <c r="F560" t="str">
        <f>+CHOOSE(Tbl_2021[[#This Row],[Type of Service]],"PEST","Disinfe","Rodent","Bird","Termite")</f>
        <v>Termite</v>
      </c>
      <c r="G560">
        <v>32</v>
      </c>
      <c r="H560" s="4">
        <f>+CHOOSE(Tbl_2021[[#This Row],[Type of Service]],2020,3500,3200,4100,5300)*Tbl_2021[[#This Row],[No of Visits]]</f>
        <v>169600</v>
      </c>
    </row>
    <row r="561" spans="2:8" x14ac:dyDescent="0.3">
      <c r="B561" t="s">
        <v>573</v>
      </c>
      <c r="C561" t="s">
        <v>1164</v>
      </c>
      <c r="D561" t="s">
        <v>12</v>
      </c>
      <c r="E561">
        <v>5</v>
      </c>
      <c r="F561" t="str">
        <f>+CHOOSE(Tbl_2021[[#This Row],[Type of Service]],"PEST","Disinfe","Rodent","Bird","Termite")</f>
        <v>Termite</v>
      </c>
      <c r="G561">
        <v>24</v>
      </c>
      <c r="H561" s="4">
        <f>+CHOOSE(Tbl_2021[[#This Row],[Type of Service]],2020,3500,3200,4100,5300)*Tbl_2021[[#This Row],[No of Visits]]</f>
        <v>127200</v>
      </c>
    </row>
    <row r="562" spans="2:8" x14ac:dyDescent="0.3">
      <c r="B562" t="s">
        <v>574</v>
      </c>
      <c r="C562" t="s">
        <v>1165</v>
      </c>
      <c r="D562" t="s">
        <v>14</v>
      </c>
      <c r="E562">
        <v>2</v>
      </c>
      <c r="F562" t="str">
        <f>+CHOOSE(Tbl_2021[[#This Row],[Type of Service]],"PEST","Disinfe","Rodent","Bird","Termite")</f>
        <v>Disinfe</v>
      </c>
      <c r="G562">
        <v>34</v>
      </c>
      <c r="H562" s="4">
        <f>+CHOOSE(Tbl_2021[[#This Row],[Type of Service]],2020,3500,3200,4100,5300)*Tbl_2021[[#This Row],[No of Visits]]</f>
        <v>119000</v>
      </c>
    </row>
    <row r="563" spans="2:8" x14ac:dyDescent="0.3">
      <c r="B563" t="s">
        <v>575</v>
      </c>
      <c r="C563" t="s">
        <v>853</v>
      </c>
      <c r="D563" t="s">
        <v>16</v>
      </c>
      <c r="E563">
        <v>5</v>
      </c>
      <c r="F563" t="str">
        <f>+CHOOSE(Tbl_2021[[#This Row],[Type of Service]],"PEST","Disinfe","Rodent","Bird","Termite")</f>
        <v>Termite</v>
      </c>
      <c r="G563">
        <v>27</v>
      </c>
      <c r="H563" s="4">
        <f>+CHOOSE(Tbl_2021[[#This Row],[Type of Service]],2020,3500,3200,4100,5300)*Tbl_2021[[#This Row],[No of Visits]]</f>
        <v>143100</v>
      </c>
    </row>
    <row r="564" spans="2:8" x14ac:dyDescent="0.3">
      <c r="B564" t="s">
        <v>576</v>
      </c>
      <c r="C564" t="s">
        <v>1166</v>
      </c>
      <c r="D564" t="s">
        <v>4</v>
      </c>
      <c r="E564">
        <v>2</v>
      </c>
      <c r="F564" t="str">
        <f>+CHOOSE(Tbl_2021[[#This Row],[Type of Service]],"PEST","Disinfe","Rodent","Bird","Termite")</f>
        <v>Disinfe</v>
      </c>
      <c r="G564">
        <v>4</v>
      </c>
      <c r="H564" s="4">
        <f>+CHOOSE(Tbl_2021[[#This Row],[Type of Service]],2020,3500,3200,4100,5300)*Tbl_2021[[#This Row],[No of Visits]]</f>
        <v>14000</v>
      </c>
    </row>
    <row r="565" spans="2:8" x14ac:dyDescent="0.3">
      <c r="B565" t="s">
        <v>577</v>
      </c>
      <c r="C565" t="s">
        <v>1167</v>
      </c>
      <c r="D565" t="s">
        <v>6</v>
      </c>
      <c r="E565">
        <v>4</v>
      </c>
      <c r="F565" t="str">
        <f>+CHOOSE(Tbl_2021[[#This Row],[Type of Service]],"PEST","Disinfe","Rodent","Bird","Termite")</f>
        <v>Bird</v>
      </c>
      <c r="G565">
        <v>15</v>
      </c>
      <c r="H565" s="4">
        <f>+CHOOSE(Tbl_2021[[#This Row],[Type of Service]],2020,3500,3200,4100,5300)*Tbl_2021[[#This Row],[No of Visits]]</f>
        <v>61500</v>
      </c>
    </row>
    <row r="566" spans="2:8" x14ac:dyDescent="0.3">
      <c r="B566" t="s">
        <v>578</v>
      </c>
      <c r="C566" t="s">
        <v>1168</v>
      </c>
      <c r="D566" t="s">
        <v>8</v>
      </c>
      <c r="E566">
        <v>2</v>
      </c>
      <c r="F566" t="str">
        <f>+CHOOSE(Tbl_2021[[#This Row],[Type of Service]],"PEST","Disinfe","Rodent","Bird","Termite")</f>
        <v>Disinfe</v>
      </c>
      <c r="G566">
        <v>33</v>
      </c>
      <c r="H566" s="4">
        <f>+CHOOSE(Tbl_2021[[#This Row],[Type of Service]],2020,3500,3200,4100,5300)*Tbl_2021[[#This Row],[No of Visits]]</f>
        <v>115500</v>
      </c>
    </row>
    <row r="567" spans="2:8" x14ac:dyDescent="0.3">
      <c r="B567" t="s">
        <v>579</v>
      </c>
      <c r="C567" t="s">
        <v>1169</v>
      </c>
      <c r="D567" t="s">
        <v>10</v>
      </c>
      <c r="E567">
        <v>1</v>
      </c>
      <c r="F567" t="str">
        <f>+CHOOSE(Tbl_2021[[#This Row],[Type of Service]],"PEST","Disinfe","Rodent","Bird","Termite")</f>
        <v>PEST</v>
      </c>
      <c r="G567">
        <v>30</v>
      </c>
      <c r="H567" s="4">
        <f>+CHOOSE(Tbl_2021[[#This Row],[Type of Service]],2020,3500,3200,4100,5300)*Tbl_2021[[#This Row],[No of Visits]]</f>
        <v>60600</v>
      </c>
    </row>
    <row r="568" spans="2:8" x14ac:dyDescent="0.3">
      <c r="B568" t="s">
        <v>580</v>
      </c>
      <c r="C568" t="s">
        <v>1170</v>
      </c>
      <c r="D568" t="s">
        <v>12</v>
      </c>
      <c r="E568">
        <v>1</v>
      </c>
      <c r="F568" t="str">
        <f>+CHOOSE(Tbl_2021[[#This Row],[Type of Service]],"PEST","Disinfe","Rodent","Bird","Termite")</f>
        <v>PEST</v>
      </c>
      <c r="G568">
        <v>2</v>
      </c>
      <c r="H568" s="4">
        <f>+CHOOSE(Tbl_2021[[#This Row],[Type of Service]],2020,3500,3200,4100,5300)*Tbl_2021[[#This Row],[No of Visits]]</f>
        <v>4040</v>
      </c>
    </row>
    <row r="569" spans="2:8" x14ac:dyDescent="0.3">
      <c r="B569" t="s">
        <v>581</v>
      </c>
      <c r="C569" t="s">
        <v>1171</v>
      </c>
      <c r="D569" t="s">
        <v>14</v>
      </c>
      <c r="E569">
        <v>5</v>
      </c>
      <c r="F569" t="str">
        <f>+CHOOSE(Tbl_2021[[#This Row],[Type of Service]],"PEST","Disinfe","Rodent","Bird","Termite")</f>
        <v>Termite</v>
      </c>
      <c r="G569">
        <v>36</v>
      </c>
      <c r="H569" s="4">
        <f>+CHOOSE(Tbl_2021[[#This Row],[Type of Service]],2020,3500,3200,4100,5300)*Tbl_2021[[#This Row],[No of Visits]]</f>
        <v>190800</v>
      </c>
    </row>
    <row r="570" spans="2:8" x14ac:dyDescent="0.3">
      <c r="B570" t="s">
        <v>582</v>
      </c>
      <c r="C570" t="s">
        <v>1172</v>
      </c>
      <c r="D570" t="s">
        <v>16</v>
      </c>
      <c r="E570">
        <v>5</v>
      </c>
      <c r="F570" t="str">
        <f>+CHOOSE(Tbl_2021[[#This Row],[Type of Service]],"PEST","Disinfe","Rodent","Bird","Termite")</f>
        <v>Termite</v>
      </c>
      <c r="G570">
        <v>23</v>
      </c>
      <c r="H570" s="4">
        <f>+CHOOSE(Tbl_2021[[#This Row],[Type of Service]],2020,3500,3200,4100,5300)*Tbl_2021[[#This Row],[No of Visits]]</f>
        <v>121900</v>
      </c>
    </row>
    <row r="571" spans="2:8" x14ac:dyDescent="0.3">
      <c r="B571" t="s">
        <v>583</v>
      </c>
      <c r="C571" t="s">
        <v>1173</v>
      </c>
      <c r="D571" t="s">
        <v>4</v>
      </c>
      <c r="E571">
        <v>4</v>
      </c>
      <c r="F571" t="str">
        <f>+CHOOSE(Tbl_2021[[#This Row],[Type of Service]],"PEST","Disinfe","Rodent","Bird","Termite")</f>
        <v>Bird</v>
      </c>
      <c r="G571">
        <v>21</v>
      </c>
      <c r="H571" s="4">
        <f>+CHOOSE(Tbl_2021[[#This Row],[Type of Service]],2020,3500,3200,4100,5300)*Tbl_2021[[#This Row],[No of Visits]]</f>
        <v>86100</v>
      </c>
    </row>
    <row r="572" spans="2:8" x14ac:dyDescent="0.3">
      <c r="B572" t="s">
        <v>584</v>
      </c>
      <c r="C572" t="s">
        <v>1174</v>
      </c>
      <c r="D572" t="s">
        <v>6</v>
      </c>
      <c r="E572">
        <v>4</v>
      </c>
      <c r="F572" t="str">
        <f>+CHOOSE(Tbl_2021[[#This Row],[Type of Service]],"PEST","Disinfe","Rodent","Bird","Termite")</f>
        <v>Bird</v>
      </c>
      <c r="G572">
        <v>13</v>
      </c>
      <c r="H572" s="4">
        <f>+CHOOSE(Tbl_2021[[#This Row],[Type of Service]],2020,3500,3200,4100,5300)*Tbl_2021[[#This Row],[No of Visits]]</f>
        <v>53300</v>
      </c>
    </row>
    <row r="573" spans="2:8" x14ac:dyDescent="0.3">
      <c r="B573" t="s">
        <v>585</v>
      </c>
      <c r="C573" t="s">
        <v>1045</v>
      </c>
      <c r="D573" t="s">
        <v>8</v>
      </c>
      <c r="E573">
        <v>5</v>
      </c>
      <c r="F573" t="str">
        <f>+CHOOSE(Tbl_2021[[#This Row],[Type of Service]],"PEST","Disinfe","Rodent","Bird","Termite")</f>
        <v>Termite</v>
      </c>
      <c r="G573">
        <v>8</v>
      </c>
      <c r="H573" s="4">
        <f>+CHOOSE(Tbl_2021[[#This Row],[Type of Service]],2020,3500,3200,4100,5300)*Tbl_2021[[#This Row],[No of Visits]]</f>
        <v>42400</v>
      </c>
    </row>
    <row r="574" spans="2:8" x14ac:dyDescent="0.3">
      <c r="B574" t="s">
        <v>586</v>
      </c>
      <c r="C574" t="s">
        <v>878</v>
      </c>
      <c r="D574" t="s">
        <v>10</v>
      </c>
      <c r="E574">
        <v>5</v>
      </c>
      <c r="F574" t="str">
        <f>+CHOOSE(Tbl_2021[[#This Row],[Type of Service]],"PEST","Disinfe","Rodent","Bird","Termite")</f>
        <v>Termite</v>
      </c>
      <c r="G574">
        <v>16</v>
      </c>
      <c r="H574" s="4">
        <f>+CHOOSE(Tbl_2021[[#This Row],[Type of Service]],2020,3500,3200,4100,5300)*Tbl_2021[[#This Row],[No of Visits]]</f>
        <v>84800</v>
      </c>
    </row>
    <row r="575" spans="2:8" x14ac:dyDescent="0.3">
      <c r="B575" t="s">
        <v>587</v>
      </c>
      <c r="C575" t="s">
        <v>1175</v>
      </c>
      <c r="D575" t="s">
        <v>12</v>
      </c>
      <c r="E575">
        <v>1</v>
      </c>
      <c r="F575" t="str">
        <f>+CHOOSE(Tbl_2021[[#This Row],[Type of Service]],"PEST","Disinfe","Rodent","Bird","Termite")</f>
        <v>PEST</v>
      </c>
      <c r="G575">
        <v>33</v>
      </c>
      <c r="H575" s="4">
        <f>+CHOOSE(Tbl_2021[[#This Row],[Type of Service]],2020,3500,3200,4100,5300)*Tbl_2021[[#This Row],[No of Visits]]</f>
        <v>66660</v>
      </c>
    </row>
    <row r="576" spans="2:8" x14ac:dyDescent="0.3">
      <c r="B576" t="s">
        <v>588</v>
      </c>
      <c r="C576" t="s">
        <v>837</v>
      </c>
      <c r="D576" t="s">
        <v>14</v>
      </c>
      <c r="E576">
        <v>5</v>
      </c>
      <c r="F576" t="str">
        <f>+CHOOSE(Tbl_2021[[#This Row],[Type of Service]],"PEST","Disinfe","Rodent","Bird","Termite")</f>
        <v>Termite</v>
      </c>
      <c r="G576">
        <v>17</v>
      </c>
      <c r="H576" s="4">
        <f>+CHOOSE(Tbl_2021[[#This Row],[Type of Service]],2020,3500,3200,4100,5300)*Tbl_2021[[#This Row],[No of Visits]]</f>
        <v>90100</v>
      </c>
    </row>
    <row r="577" spans="2:8" x14ac:dyDescent="0.3">
      <c r="B577" t="s">
        <v>589</v>
      </c>
      <c r="C577" t="s">
        <v>951</v>
      </c>
      <c r="D577" t="s">
        <v>16</v>
      </c>
      <c r="E577">
        <v>1</v>
      </c>
      <c r="F577" t="str">
        <f>+CHOOSE(Tbl_2021[[#This Row],[Type of Service]],"PEST","Disinfe","Rodent","Bird","Termite")</f>
        <v>PEST</v>
      </c>
      <c r="G577">
        <v>25</v>
      </c>
      <c r="H577" s="4">
        <f>+CHOOSE(Tbl_2021[[#This Row],[Type of Service]],2020,3500,3200,4100,5300)*Tbl_2021[[#This Row],[No of Visits]]</f>
        <v>50500</v>
      </c>
    </row>
    <row r="578" spans="2:8" x14ac:dyDescent="0.3">
      <c r="B578" t="s">
        <v>590</v>
      </c>
      <c r="C578" t="s">
        <v>1176</v>
      </c>
      <c r="D578" t="s">
        <v>4</v>
      </c>
      <c r="E578">
        <v>4</v>
      </c>
      <c r="F578" t="str">
        <f>+CHOOSE(Tbl_2021[[#This Row],[Type of Service]],"PEST","Disinfe","Rodent","Bird","Termite")</f>
        <v>Bird</v>
      </c>
      <c r="G578">
        <v>16</v>
      </c>
      <c r="H578" s="4">
        <f>+CHOOSE(Tbl_2021[[#This Row],[Type of Service]],2020,3500,3200,4100,5300)*Tbl_2021[[#This Row],[No of Visits]]</f>
        <v>65600</v>
      </c>
    </row>
    <row r="579" spans="2:8" x14ac:dyDescent="0.3">
      <c r="B579" t="s">
        <v>591</v>
      </c>
      <c r="C579" t="s">
        <v>1177</v>
      </c>
      <c r="D579" t="s">
        <v>6</v>
      </c>
      <c r="E579">
        <v>4</v>
      </c>
      <c r="F579" t="str">
        <f>+CHOOSE(Tbl_2021[[#This Row],[Type of Service]],"PEST","Disinfe","Rodent","Bird","Termite")</f>
        <v>Bird</v>
      </c>
      <c r="G579">
        <v>16</v>
      </c>
      <c r="H579" s="4">
        <f>+CHOOSE(Tbl_2021[[#This Row],[Type of Service]],2020,3500,3200,4100,5300)*Tbl_2021[[#This Row],[No of Visits]]</f>
        <v>65600</v>
      </c>
    </row>
    <row r="580" spans="2:8" x14ac:dyDescent="0.3">
      <c r="B580" t="s">
        <v>592</v>
      </c>
      <c r="C580" t="s">
        <v>1178</v>
      </c>
      <c r="D580" t="s">
        <v>8</v>
      </c>
      <c r="E580">
        <v>1</v>
      </c>
      <c r="F580" t="str">
        <f>+CHOOSE(Tbl_2021[[#This Row],[Type of Service]],"PEST","Disinfe","Rodent","Bird","Termite")</f>
        <v>PEST</v>
      </c>
      <c r="G580">
        <v>24</v>
      </c>
      <c r="H580" s="4">
        <f>+CHOOSE(Tbl_2021[[#This Row],[Type of Service]],2020,3500,3200,4100,5300)*Tbl_2021[[#This Row],[No of Visits]]</f>
        <v>48480</v>
      </c>
    </row>
    <row r="581" spans="2:8" x14ac:dyDescent="0.3">
      <c r="B581" t="s">
        <v>593</v>
      </c>
      <c r="C581" t="s">
        <v>1179</v>
      </c>
      <c r="D581" t="s">
        <v>10</v>
      </c>
      <c r="E581">
        <v>2</v>
      </c>
      <c r="F581" t="str">
        <f>+CHOOSE(Tbl_2021[[#This Row],[Type of Service]],"PEST","Disinfe","Rodent","Bird","Termite")</f>
        <v>Disinfe</v>
      </c>
      <c r="G581">
        <v>36</v>
      </c>
      <c r="H581" s="4">
        <f>+CHOOSE(Tbl_2021[[#This Row],[Type of Service]],2020,3500,3200,4100,5300)*Tbl_2021[[#This Row],[No of Visits]]</f>
        <v>126000</v>
      </c>
    </row>
    <row r="582" spans="2:8" x14ac:dyDescent="0.3">
      <c r="B582" t="s">
        <v>594</v>
      </c>
      <c r="C582" t="s">
        <v>1081</v>
      </c>
      <c r="D582" t="s">
        <v>12</v>
      </c>
      <c r="E582">
        <v>4</v>
      </c>
      <c r="F582" t="str">
        <f>+CHOOSE(Tbl_2021[[#This Row],[Type of Service]],"PEST","Disinfe","Rodent","Bird","Termite")</f>
        <v>Bird</v>
      </c>
      <c r="G582">
        <v>27</v>
      </c>
      <c r="H582" s="4">
        <f>+CHOOSE(Tbl_2021[[#This Row],[Type of Service]],2020,3500,3200,4100,5300)*Tbl_2021[[#This Row],[No of Visits]]</f>
        <v>110700</v>
      </c>
    </row>
    <row r="583" spans="2:8" x14ac:dyDescent="0.3">
      <c r="B583" t="s">
        <v>595</v>
      </c>
      <c r="C583" t="s">
        <v>766</v>
      </c>
      <c r="D583" t="s">
        <v>14</v>
      </c>
      <c r="E583">
        <v>2</v>
      </c>
      <c r="F583" t="str">
        <f>+CHOOSE(Tbl_2021[[#This Row],[Type of Service]],"PEST","Disinfe","Rodent","Bird","Termite")</f>
        <v>Disinfe</v>
      </c>
      <c r="G583">
        <v>5</v>
      </c>
      <c r="H583" s="4">
        <f>+CHOOSE(Tbl_2021[[#This Row],[Type of Service]],2020,3500,3200,4100,5300)*Tbl_2021[[#This Row],[No of Visits]]</f>
        <v>17500</v>
      </c>
    </row>
    <row r="584" spans="2:8" x14ac:dyDescent="0.3">
      <c r="B584" t="s">
        <v>596</v>
      </c>
      <c r="C584" t="s">
        <v>1180</v>
      </c>
      <c r="D584" t="s">
        <v>16</v>
      </c>
      <c r="E584">
        <v>5</v>
      </c>
      <c r="F584" t="str">
        <f>+CHOOSE(Tbl_2021[[#This Row],[Type of Service]],"PEST","Disinfe","Rodent","Bird","Termite")</f>
        <v>Termite</v>
      </c>
      <c r="G584">
        <v>30</v>
      </c>
      <c r="H584" s="4">
        <f>+CHOOSE(Tbl_2021[[#This Row],[Type of Service]],2020,3500,3200,4100,5300)*Tbl_2021[[#This Row],[No of Visits]]</f>
        <v>159000</v>
      </c>
    </row>
    <row r="585" spans="2:8" x14ac:dyDescent="0.3">
      <c r="B585" t="s">
        <v>597</v>
      </c>
      <c r="C585" t="s">
        <v>1181</v>
      </c>
      <c r="D585" t="s">
        <v>4</v>
      </c>
      <c r="E585">
        <v>2</v>
      </c>
      <c r="F585" t="str">
        <f>+CHOOSE(Tbl_2021[[#This Row],[Type of Service]],"PEST","Disinfe","Rodent","Bird","Termite")</f>
        <v>Disinfe</v>
      </c>
      <c r="G585">
        <v>11</v>
      </c>
      <c r="H585" s="4">
        <f>+CHOOSE(Tbl_2021[[#This Row],[Type of Service]],2020,3500,3200,4100,5300)*Tbl_2021[[#This Row],[No of Visits]]</f>
        <v>38500</v>
      </c>
    </row>
    <row r="586" spans="2:8" x14ac:dyDescent="0.3">
      <c r="B586" t="s">
        <v>598</v>
      </c>
      <c r="C586" t="s">
        <v>1182</v>
      </c>
      <c r="D586" t="s">
        <v>6</v>
      </c>
      <c r="E586">
        <v>2</v>
      </c>
      <c r="F586" t="str">
        <f>+CHOOSE(Tbl_2021[[#This Row],[Type of Service]],"PEST","Disinfe","Rodent","Bird","Termite")</f>
        <v>Disinfe</v>
      </c>
      <c r="G586">
        <v>17</v>
      </c>
      <c r="H586" s="4">
        <f>+CHOOSE(Tbl_2021[[#This Row],[Type of Service]],2020,3500,3200,4100,5300)*Tbl_2021[[#This Row],[No of Visits]]</f>
        <v>59500</v>
      </c>
    </row>
    <row r="587" spans="2:8" x14ac:dyDescent="0.3">
      <c r="B587" t="s">
        <v>599</v>
      </c>
      <c r="C587" t="s">
        <v>1183</v>
      </c>
      <c r="D587" t="s">
        <v>8</v>
      </c>
      <c r="E587">
        <v>4</v>
      </c>
      <c r="F587" t="str">
        <f>+CHOOSE(Tbl_2021[[#This Row],[Type of Service]],"PEST","Disinfe","Rodent","Bird","Termite")</f>
        <v>Bird</v>
      </c>
      <c r="G587">
        <v>20</v>
      </c>
      <c r="H587" s="4">
        <f>+CHOOSE(Tbl_2021[[#This Row],[Type of Service]],2020,3500,3200,4100,5300)*Tbl_2021[[#This Row],[No of Visits]]</f>
        <v>82000</v>
      </c>
    </row>
    <row r="588" spans="2:8" x14ac:dyDescent="0.3">
      <c r="B588" t="s">
        <v>600</v>
      </c>
      <c r="C588" t="s">
        <v>1184</v>
      </c>
      <c r="D588" t="s">
        <v>10</v>
      </c>
      <c r="E588">
        <v>1</v>
      </c>
      <c r="F588" t="str">
        <f>+CHOOSE(Tbl_2021[[#This Row],[Type of Service]],"PEST","Disinfe","Rodent","Bird","Termite")</f>
        <v>PEST</v>
      </c>
      <c r="G588">
        <v>2</v>
      </c>
      <c r="H588" s="4">
        <f>+CHOOSE(Tbl_2021[[#This Row],[Type of Service]],2020,3500,3200,4100,5300)*Tbl_2021[[#This Row],[No of Visits]]</f>
        <v>4040</v>
      </c>
    </row>
    <row r="589" spans="2:8" x14ac:dyDescent="0.3">
      <c r="B589" t="s">
        <v>601</v>
      </c>
      <c r="C589" t="s">
        <v>1185</v>
      </c>
      <c r="D589" t="s">
        <v>12</v>
      </c>
      <c r="E589">
        <v>5</v>
      </c>
      <c r="F589" t="str">
        <f>+CHOOSE(Tbl_2021[[#This Row],[Type of Service]],"PEST","Disinfe","Rodent","Bird","Termite")</f>
        <v>Termite</v>
      </c>
      <c r="G589">
        <v>17</v>
      </c>
      <c r="H589" s="4">
        <f>+CHOOSE(Tbl_2021[[#This Row],[Type of Service]],2020,3500,3200,4100,5300)*Tbl_2021[[#This Row],[No of Visits]]</f>
        <v>90100</v>
      </c>
    </row>
    <row r="590" spans="2:8" x14ac:dyDescent="0.3">
      <c r="B590" t="s">
        <v>602</v>
      </c>
      <c r="C590" t="s">
        <v>854</v>
      </c>
      <c r="D590" t="s">
        <v>14</v>
      </c>
      <c r="E590">
        <v>5</v>
      </c>
      <c r="F590" t="str">
        <f>+CHOOSE(Tbl_2021[[#This Row],[Type of Service]],"PEST","Disinfe","Rodent","Bird","Termite")</f>
        <v>Termite</v>
      </c>
      <c r="G590">
        <v>24</v>
      </c>
      <c r="H590" s="4">
        <f>+CHOOSE(Tbl_2021[[#This Row],[Type of Service]],2020,3500,3200,4100,5300)*Tbl_2021[[#This Row],[No of Visits]]</f>
        <v>127200</v>
      </c>
    </row>
    <row r="591" spans="2:8" x14ac:dyDescent="0.3">
      <c r="B591" t="s">
        <v>603</v>
      </c>
      <c r="C591" t="s">
        <v>1186</v>
      </c>
      <c r="D591" t="s">
        <v>16</v>
      </c>
      <c r="E591">
        <v>1</v>
      </c>
      <c r="F591" t="str">
        <f>+CHOOSE(Tbl_2021[[#This Row],[Type of Service]],"PEST","Disinfe","Rodent","Bird","Termite")</f>
        <v>PEST</v>
      </c>
      <c r="G591">
        <v>24</v>
      </c>
      <c r="H591" s="4">
        <f>+CHOOSE(Tbl_2021[[#This Row],[Type of Service]],2020,3500,3200,4100,5300)*Tbl_2021[[#This Row],[No of Visits]]</f>
        <v>48480</v>
      </c>
    </row>
    <row r="592" spans="2:8" x14ac:dyDescent="0.3">
      <c r="B592" t="s">
        <v>604</v>
      </c>
      <c r="C592" t="s">
        <v>815</v>
      </c>
      <c r="D592" t="s">
        <v>4</v>
      </c>
      <c r="E592">
        <v>5</v>
      </c>
      <c r="F592" t="str">
        <f>+CHOOSE(Tbl_2021[[#This Row],[Type of Service]],"PEST","Disinfe","Rodent","Bird","Termite")</f>
        <v>Termite</v>
      </c>
      <c r="G592">
        <v>36</v>
      </c>
      <c r="H592" s="4">
        <f>+CHOOSE(Tbl_2021[[#This Row],[Type of Service]],2020,3500,3200,4100,5300)*Tbl_2021[[#This Row],[No of Visits]]</f>
        <v>190800</v>
      </c>
    </row>
    <row r="593" spans="2:8" x14ac:dyDescent="0.3">
      <c r="B593" t="s">
        <v>605</v>
      </c>
      <c r="C593" t="s">
        <v>1187</v>
      </c>
      <c r="D593" t="s">
        <v>6</v>
      </c>
      <c r="E593">
        <v>5</v>
      </c>
      <c r="F593" t="str">
        <f>+CHOOSE(Tbl_2021[[#This Row],[Type of Service]],"PEST","Disinfe","Rodent","Bird","Termite")</f>
        <v>Termite</v>
      </c>
      <c r="G593">
        <v>30</v>
      </c>
      <c r="H593" s="4">
        <f>+CHOOSE(Tbl_2021[[#This Row],[Type of Service]],2020,3500,3200,4100,5300)*Tbl_2021[[#This Row],[No of Visits]]</f>
        <v>159000</v>
      </c>
    </row>
    <row r="594" spans="2:8" x14ac:dyDescent="0.3">
      <c r="B594" t="s">
        <v>606</v>
      </c>
      <c r="C594" t="s">
        <v>951</v>
      </c>
      <c r="D594" t="s">
        <v>8</v>
      </c>
      <c r="E594">
        <v>5</v>
      </c>
      <c r="F594" t="str">
        <f>+CHOOSE(Tbl_2021[[#This Row],[Type of Service]],"PEST","Disinfe","Rodent","Bird","Termite")</f>
        <v>Termite</v>
      </c>
      <c r="G594">
        <v>6</v>
      </c>
      <c r="H594" s="4">
        <f>+CHOOSE(Tbl_2021[[#This Row],[Type of Service]],2020,3500,3200,4100,5300)*Tbl_2021[[#This Row],[No of Visits]]</f>
        <v>31800</v>
      </c>
    </row>
    <row r="595" spans="2:8" x14ac:dyDescent="0.3">
      <c r="B595" t="s">
        <v>607</v>
      </c>
      <c r="C595" t="s">
        <v>1188</v>
      </c>
      <c r="D595" t="s">
        <v>10</v>
      </c>
      <c r="E595">
        <v>5</v>
      </c>
      <c r="F595" t="str">
        <f>+CHOOSE(Tbl_2021[[#This Row],[Type of Service]],"PEST","Disinfe","Rodent","Bird","Termite")</f>
        <v>Termite</v>
      </c>
      <c r="G595">
        <v>36</v>
      </c>
      <c r="H595" s="4">
        <f>+CHOOSE(Tbl_2021[[#This Row],[Type of Service]],2020,3500,3200,4100,5300)*Tbl_2021[[#This Row],[No of Visits]]</f>
        <v>190800</v>
      </c>
    </row>
    <row r="596" spans="2:8" x14ac:dyDescent="0.3">
      <c r="B596" t="s">
        <v>608</v>
      </c>
      <c r="C596" t="s">
        <v>1189</v>
      </c>
      <c r="D596" t="s">
        <v>12</v>
      </c>
      <c r="E596">
        <v>2</v>
      </c>
      <c r="F596" t="str">
        <f>+CHOOSE(Tbl_2021[[#This Row],[Type of Service]],"PEST","Disinfe","Rodent","Bird","Termite")</f>
        <v>Disinfe</v>
      </c>
      <c r="G596">
        <v>25</v>
      </c>
      <c r="H596" s="4">
        <f>+CHOOSE(Tbl_2021[[#This Row],[Type of Service]],2020,3500,3200,4100,5300)*Tbl_2021[[#This Row],[No of Visits]]</f>
        <v>87500</v>
      </c>
    </row>
    <row r="597" spans="2:8" x14ac:dyDescent="0.3">
      <c r="B597" t="s">
        <v>609</v>
      </c>
      <c r="C597" t="s">
        <v>1190</v>
      </c>
      <c r="D597" t="s">
        <v>14</v>
      </c>
      <c r="E597">
        <v>2</v>
      </c>
      <c r="F597" t="str">
        <f>+CHOOSE(Tbl_2021[[#This Row],[Type of Service]],"PEST","Disinfe","Rodent","Bird","Termite")</f>
        <v>Disinfe</v>
      </c>
      <c r="G597">
        <v>21</v>
      </c>
      <c r="H597" s="4">
        <f>+CHOOSE(Tbl_2021[[#This Row],[Type of Service]],2020,3500,3200,4100,5300)*Tbl_2021[[#This Row],[No of Visits]]</f>
        <v>73500</v>
      </c>
    </row>
    <row r="598" spans="2:8" x14ac:dyDescent="0.3">
      <c r="B598" t="s">
        <v>610</v>
      </c>
      <c r="C598" t="s">
        <v>1191</v>
      </c>
      <c r="D598" t="s">
        <v>16</v>
      </c>
      <c r="E598">
        <v>4</v>
      </c>
      <c r="F598" t="str">
        <f>+CHOOSE(Tbl_2021[[#This Row],[Type of Service]],"PEST","Disinfe","Rodent","Bird","Termite")</f>
        <v>Bird</v>
      </c>
      <c r="G598">
        <v>26</v>
      </c>
      <c r="H598" s="4">
        <f>+CHOOSE(Tbl_2021[[#This Row],[Type of Service]],2020,3500,3200,4100,5300)*Tbl_2021[[#This Row],[No of Visits]]</f>
        <v>106600</v>
      </c>
    </row>
    <row r="599" spans="2:8" x14ac:dyDescent="0.3">
      <c r="B599" t="s">
        <v>611</v>
      </c>
      <c r="C599" t="s">
        <v>1192</v>
      </c>
      <c r="D599" t="s">
        <v>4</v>
      </c>
      <c r="E599">
        <v>2</v>
      </c>
      <c r="F599" t="str">
        <f>+CHOOSE(Tbl_2021[[#This Row],[Type of Service]],"PEST","Disinfe","Rodent","Bird","Termite")</f>
        <v>Disinfe</v>
      </c>
      <c r="G599">
        <v>36</v>
      </c>
      <c r="H599" s="4">
        <f>+CHOOSE(Tbl_2021[[#This Row],[Type of Service]],2020,3500,3200,4100,5300)*Tbl_2021[[#This Row],[No of Visits]]</f>
        <v>126000</v>
      </c>
    </row>
    <row r="600" spans="2:8" x14ac:dyDescent="0.3">
      <c r="B600" t="s">
        <v>612</v>
      </c>
      <c r="C600" t="s">
        <v>1193</v>
      </c>
      <c r="D600" t="s">
        <v>6</v>
      </c>
      <c r="E600">
        <v>5</v>
      </c>
      <c r="F600" t="str">
        <f>+CHOOSE(Tbl_2021[[#This Row],[Type of Service]],"PEST","Disinfe","Rodent","Bird","Termite")</f>
        <v>Termite</v>
      </c>
      <c r="G600">
        <v>35</v>
      </c>
      <c r="H600" s="4">
        <f>+CHOOSE(Tbl_2021[[#This Row],[Type of Service]],2020,3500,3200,4100,5300)*Tbl_2021[[#This Row],[No of Visits]]</f>
        <v>185500</v>
      </c>
    </row>
    <row r="601" spans="2:8" x14ac:dyDescent="0.3">
      <c r="B601" t="s">
        <v>613</v>
      </c>
      <c r="C601" t="s">
        <v>1194</v>
      </c>
      <c r="D601" t="s">
        <v>8</v>
      </c>
      <c r="E601">
        <v>1</v>
      </c>
      <c r="F601" t="str">
        <f>+CHOOSE(Tbl_2021[[#This Row],[Type of Service]],"PEST","Disinfe","Rodent","Bird","Termite")</f>
        <v>PEST</v>
      </c>
      <c r="G601">
        <v>14</v>
      </c>
      <c r="H601" s="4">
        <f>+CHOOSE(Tbl_2021[[#This Row],[Type of Service]],2020,3500,3200,4100,5300)*Tbl_2021[[#This Row],[No of Visits]]</f>
        <v>28280</v>
      </c>
    </row>
    <row r="602" spans="2:8" x14ac:dyDescent="0.3">
      <c r="B602" t="s">
        <v>614</v>
      </c>
      <c r="C602" t="s">
        <v>1195</v>
      </c>
      <c r="D602" t="s">
        <v>10</v>
      </c>
      <c r="E602">
        <v>5</v>
      </c>
      <c r="F602" t="str">
        <f>+CHOOSE(Tbl_2021[[#This Row],[Type of Service]],"PEST","Disinfe","Rodent","Bird","Termite")</f>
        <v>Termite</v>
      </c>
      <c r="G602">
        <v>27</v>
      </c>
      <c r="H602" s="4">
        <f>+CHOOSE(Tbl_2021[[#This Row],[Type of Service]],2020,3500,3200,4100,5300)*Tbl_2021[[#This Row],[No of Visits]]</f>
        <v>143100</v>
      </c>
    </row>
    <row r="603" spans="2:8" x14ac:dyDescent="0.3">
      <c r="B603" t="s">
        <v>615</v>
      </c>
      <c r="C603" t="s">
        <v>1196</v>
      </c>
      <c r="D603" t="s">
        <v>12</v>
      </c>
      <c r="E603">
        <v>1</v>
      </c>
      <c r="F603" t="str">
        <f>+CHOOSE(Tbl_2021[[#This Row],[Type of Service]],"PEST","Disinfe","Rodent","Bird","Termite")</f>
        <v>PEST</v>
      </c>
      <c r="G603">
        <v>36</v>
      </c>
      <c r="H603" s="4">
        <f>+CHOOSE(Tbl_2021[[#This Row],[Type of Service]],2020,3500,3200,4100,5300)*Tbl_2021[[#This Row],[No of Visits]]</f>
        <v>72720</v>
      </c>
    </row>
    <row r="604" spans="2:8" x14ac:dyDescent="0.3">
      <c r="B604" t="s">
        <v>616</v>
      </c>
      <c r="C604" t="s">
        <v>1197</v>
      </c>
      <c r="D604" t="s">
        <v>14</v>
      </c>
      <c r="E604">
        <v>5</v>
      </c>
      <c r="F604" t="str">
        <f>+CHOOSE(Tbl_2021[[#This Row],[Type of Service]],"PEST","Disinfe","Rodent","Bird","Termite")</f>
        <v>Termite</v>
      </c>
      <c r="G604">
        <v>10</v>
      </c>
      <c r="H604" s="4">
        <f>+CHOOSE(Tbl_2021[[#This Row],[Type of Service]],2020,3500,3200,4100,5300)*Tbl_2021[[#This Row],[No of Visits]]</f>
        <v>53000</v>
      </c>
    </row>
    <row r="605" spans="2:8" x14ac:dyDescent="0.3">
      <c r="B605" t="s">
        <v>617</v>
      </c>
      <c r="C605" t="s">
        <v>1198</v>
      </c>
      <c r="D605" t="s">
        <v>16</v>
      </c>
      <c r="E605">
        <v>5</v>
      </c>
      <c r="F605" t="str">
        <f>+CHOOSE(Tbl_2021[[#This Row],[Type of Service]],"PEST","Disinfe","Rodent","Bird","Termite")</f>
        <v>Termite</v>
      </c>
      <c r="G605">
        <v>27</v>
      </c>
      <c r="H605" s="4">
        <f>+CHOOSE(Tbl_2021[[#This Row],[Type of Service]],2020,3500,3200,4100,5300)*Tbl_2021[[#This Row],[No of Visits]]</f>
        <v>143100</v>
      </c>
    </row>
    <row r="606" spans="2:8" x14ac:dyDescent="0.3">
      <c r="B606" t="s">
        <v>618</v>
      </c>
      <c r="C606" t="s">
        <v>1199</v>
      </c>
      <c r="D606" t="s">
        <v>4</v>
      </c>
      <c r="E606">
        <v>1</v>
      </c>
      <c r="F606" t="str">
        <f>+CHOOSE(Tbl_2021[[#This Row],[Type of Service]],"PEST","Disinfe","Rodent","Bird","Termite")</f>
        <v>PEST</v>
      </c>
      <c r="G606">
        <v>27</v>
      </c>
      <c r="H606" s="4">
        <f>+CHOOSE(Tbl_2021[[#This Row],[Type of Service]],2020,3500,3200,4100,5300)*Tbl_2021[[#This Row],[No of Visits]]</f>
        <v>54540</v>
      </c>
    </row>
    <row r="607" spans="2:8" x14ac:dyDescent="0.3">
      <c r="B607" t="s">
        <v>619</v>
      </c>
      <c r="C607" t="s">
        <v>1200</v>
      </c>
      <c r="D607" t="s">
        <v>6</v>
      </c>
      <c r="E607">
        <v>5</v>
      </c>
      <c r="F607" t="str">
        <f>+CHOOSE(Tbl_2021[[#This Row],[Type of Service]],"PEST","Disinfe","Rodent","Bird","Termite")</f>
        <v>Termite</v>
      </c>
      <c r="G607">
        <v>21</v>
      </c>
      <c r="H607" s="4">
        <f>+CHOOSE(Tbl_2021[[#This Row],[Type of Service]],2020,3500,3200,4100,5300)*Tbl_2021[[#This Row],[No of Visits]]</f>
        <v>111300</v>
      </c>
    </row>
    <row r="608" spans="2:8" x14ac:dyDescent="0.3">
      <c r="B608" t="s">
        <v>620</v>
      </c>
      <c r="C608" t="s">
        <v>1039</v>
      </c>
      <c r="D608" t="s">
        <v>8</v>
      </c>
      <c r="E608">
        <v>5</v>
      </c>
      <c r="F608" t="str">
        <f>+CHOOSE(Tbl_2021[[#This Row],[Type of Service]],"PEST","Disinfe","Rodent","Bird","Termite")</f>
        <v>Termite</v>
      </c>
      <c r="G608">
        <v>13</v>
      </c>
      <c r="H608" s="4">
        <f>+CHOOSE(Tbl_2021[[#This Row],[Type of Service]],2020,3500,3200,4100,5300)*Tbl_2021[[#This Row],[No of Visits]]</f>
        <v>68900</v>
      </c>
    </row>
    <row r="609" spans="2:8" x14ac:dyDescent="0.3">
      <c r="B609" t="s">
        <v>621</v>
      </c>
      <c r="C609" t="s">
        <v>1201</v>
      </c>
      <c r="D609" t="s">
        <v>10</v>
      </c>
      <c r="E609">
        <v>5</v>
      </c>
      <c r="F609" t="str">
        <f>+CHOOSE(Tbl_2021[[#This Row],[Type of Service]],"PEST","Disinfe","Rodent","Bird","Termite")</f>
        <v>Termite</v>
      </c>
      <c r="G609">
        <v>20</v>
      </c>
      <c r="H609" s="4">
        <f>+CHOOSE(Tbl_2021[[#This Row],[Type of Service]],2020,3500,3200,4100,5300)*Tbl_2021[[#This Row],[No of Visits]]</f>
        <v>106000</v>
      </c>
    </row>
    <row r="610" spans="2:8" x14ac:dyDescent="0.3">
      <c r="B610" t="s">
        <v>622</v>
      </c>
      <c r="C610" t="s">
        <v>1202</v>
      </c>
      <c r="D610" t="s">
        <v>12</v>
      </c>
      <c r="E610">
        <v>4</v>
      </c>
      <c r="F610" t="str">
        <f>+CHOOSE(Tbl_2021[[#This Row],[Type of Service]],"PEST","Disinfe","Rodent","Bird","Termite")</f>
        <v>Bird</v>
      </c>
      <c r="G610">
        <v>26</v>
      </c>
      <c r="H610" s="4">
        <f>+CHOOSE(Tbl_2021[[#This Row],[Type of Service]],2020,3500,3200,4100,5300)*Tbl_2021[[#This Row],[No of Visits]]</f>
        <v>106600</v>
      </c>
    </row>
    <row r="611" spans="2:8" x14ac:dyDescent="0.3">
      <c r="B611" t="s">
        <v>623</v>
      </c>
      <c r="C611" t="s">
        <v>1203</v>
      </c>
      <c r="D611" t="s">
        <v>14</v>
      </c>
      <c r="E611">
        <v>4</v>
      </c>
      <c r="F611" t="str">
        <f>+CHOOSE(Tbl_2021[[#This Row],[Type of Service]],"PEST","Disinfe","Rodent","Bird","Termite")</f>
        <v>Bird</v>
      </c>
      <c r="G611">
        <v>35</v>
      </c>
      <c r="H611" s="4">
        <f>+CHOOSE(Tbl_2021[[#This Row],[Type of Service]],2020,3500,3200,4100,5300)*Tbl_2021[[#This Row],[No of Visits]]</f>
        <v>143500</v>
      </c>
    </row>
    <row r="612" spans="2:8" x14ac:dyDescent="0.3">
      <c r="B612" t="s">
        <v>624</v>
      </c>
      <c r="C612" t="s">
        <v>1204</v>
      </c>
      <c r="D612" t="s">
        <v>16</v>
      </c>
      <c r="E612">
        <v>5</v>
      </c>
      <c r="F612" t="str">
        <f>+CHOOSE(Tbl_2021[[#This Row],[Type of Service]],"PEST","Disinfe","Rodent","Bird","Termite")</f>
        <v>Termite</v>
      </c>
      <c r="G612">
        <v>27</v>
      </c>
      <c r="H612" s="4">
        <f>+CHOOSE(Tbl_2021[[#This Row],[Type of Service]],2020,3500,3200,4100,5300)*Tbl_2021[[#This Row],[No of Visits]]</f>
        <v>143100</v>
      </c>
    </row>
    <row r="613" spans="2:8" x14ac:dyDescent="0.3">
      <c r="B613" t="s">
        <v>625</v>
      </c>
      <c r="C613" t="s">
        <v>1205</v>
      </c>
      <c r="D613" t="s">
        <v>4</v>
      </c>
      <c r="E613">
        <v>2</v>
      </c>
      <c r="F613" t="str">
        <f>+CHOOSE(Tbl_2021[[#This Row],[Type of Service]],"PEST","Disinfe","Rodent","Bird","Termite")</f>
        <v>Disinfe</v>
      </c>
      <c r="G613">
        <v>33</v>
      </c>
      <c r="H613" s="4">
        <f>+CHOOSE(Tbl_2021[[#This Row],[Type of Service]],2020,3500,3200,4100,5300)*Tbl_2021[[#This Row],[No of Visits]]</f>
        <v>115500</v>
      </c>
    </row>
    <row r="614" spans="2:8" x14ac:dyDescent="0.3">
      <c r="B614" t="s">
        <v>626</v>
      </c>
      <c r="C614" t="s">
        <v>1206</v>
      </c>
      <c r="D614" t="s">
        <v>6</v>
      </c>
      <c r="E614">
        <v>5</v>
      </c>
      <c r="F614" t="str">
        <f>+CHOOSE(Tbl_2021[[#This Row],[Type of Service]],"PEST","Disinfe","Rodent","Bird","Termite")</f>
        <v>Termite</v>
      </c>
      <c r="G614">
        <v>32</v>
      </c>
      <c r="H614" s="4">
        <f>+CHOOSE(Tbl_2021[[#This Row],[Type of Service]],2020,3500,3200,4100,5300)*Tbl_2021[[#This Row],[No of Visits]]</f>
        <v>169600</v>
      </c>
    </row>
    <row r="615" spans="2:8" x14ac:dyDescent="0.3">
      <c r="B615" t="s">
        <v>627</v>
      </c>
      <c r="C615" t="s">
        <v>1207</v>
      </c>
      <c r="D615" t="s">
        <v>8</v>
      </c>
      <c r="E615">
        <v>5</v>
      </c>
      <c r="F615" t="str">
        <f>+CHOOSE(Tbl_2021[[#This Row],[Type of Service]],"PEST","Disinfe","Rodent","Bird","Termite")</f>
        <v>Termite</v>
      </c>
      <c r="G615">
        <v>23</v>
      </c>
      <c r="H615" s="4">
        <f>+CHOOSE(Tbl_2021[[#This Row],[Type of Service]],2020,3500,3200,4100,5300)*Tbl_2021[[#This Row],[No of Visits]]</f>
        <v>121900</v>
      </c>
    </row>
    <row r="616" spans="2:8" x14ac:dyDescent="0.3">
      <c r="B616" t="s">
        <v>628</v>
      </c>
      <c r="C616" t="s">
        <v>1208</v>
      </c>
      <c r="D616" t="s">
        <v>10</v>
      </c>
      <c r="E616">
        <v>5</v>
      </c>
      <c r="F616" t="str">
        <f>+CHOOSE(Tbl_2021[[#This Row],[Type of Service]],"PEST","Disinfe","Rodent","Bird","Termite")</f>
        <v>Termite</v>
      </c>
      <c r="G616">
        <v>26</v>
      </c>
      <c r="H616" s="4">
        <f>+CHOOSE(Tbl_2021[[#This Row],[Type of Service]],2020,3500,3200,4100,5300)*Tbl_2021[[#This Row],[No of Visits]]</f>
        <v>137800</v>
      </c>
    </row>
    <row r="617" spans="2:8" x14ac:dyDescent="0.3">
      <c r="B617" t="s">
        <v>629</v>
      </c>
      <c r="C617" t="s">
        <v>1209</v>
      </c>
      <c r="D617" t="s">
        <v>12</v>
      </c>
      <c r="E617">
        <v>1</v>
      </c>
      <c r="F617" t="str">
        <f>+CHOOSE(Tbl_2021[[#This Row],[Type of Service]],"PEST","Disinfe","Rodent","Bird","Termite")</f>
        <v>PEST</v>
      </c>
      <c r="G617">
        <v>10</v>
      </c>
      <c r="H617" s="4">
        <f>+CHOOSE(Tbl_2021[[#This Row],[Type of Service]],2020,3500,3200,4100,5300)*Tbl_2021[[#This Row],[No of Visits]]</f>
        <v>20200</v>
      </c>
    </row>
    <row r="618" spans="2:8" x14ac:dyDescent="0.3">
      <c r="B618" t="s">
        <v>630</v>
      </c>
      <c r="C618" t="s">
        <v>1210</v>
      </c>
      <c r="D618" t="s">
        <v>14</v>
      </c>
      <c r="E618">
        <v>4</v>
      </c>
      <c r="F618" t="str">
        <f>+CHOOSE(Tbl_2021[[#This Row],[Type of Service]],"PEST","Disinfe","Rodent","Bird","Termite")</f>
        <v>Bird</v>
      </c>
      <c r="G618">
        <v>15</v>
      </c>
      <c r="H618" s="4">
        <f>+CHOOSE(Tbl_2021[[#This Row],[Type of Service]],2020,3500,3200,4100,5300)*Tbl_2021[[#This Row],[No of Visits]]</f>
        <v>61500</v>
      </c>
    </row>
    <row r="619" spans="2:8" x14ac:dyDescent="0.3">
      <c r="B619" t="s">
        <v>631</v>
      </c>
      <c r="C619" t="s">
        <v>1211</v>
      </c>
      <c r="D619" t="s">
        <v>16</v>
      </c>
      <c r="E619">
        <v>1</v>
      </c>
      <c r="F619" t="str">
        <f>+CHOOSE(Tbl_2021[[#This Row],[Type of Service]],"PEST","Disinfe","Rodent","Bird","Termite")</f>
        <v>PEST</v>
      </c>
      <c r="G619">
        <v>26</v>
      </c>
      <c r="H619" s="4">
        <f>+CHOOSE(Tbl_2021[[#This Row],[Type of Service]],2020,3500,3200,4100,5300)*Tbl_2021[[#This Row],[No of Visits]]</f>
        <v>52520</v>
      </c>
    </row>
    <row r="620" spans="2:8" x14ac:dyDescent="0.3">
      <c r="B620" t="s">
        <v>632</v>
      </c>
      <c r="C620" t="s">
        <v>766</v>
      </c>
      <c r="D620" t="s">
        <v>4</v>
      </c>
      <c r="E620">
        <v>1</v>
      </c>
      <c r="F620" t="str">
        <f>+CHOOSE(Tbl_2021[[#This Row],[Type of Service]],"PEST","Disinfe","Rodent","Bird","Termite")</f>
        <v>PEST</v>
      </c>
      <c r="G620">
        <v>5</v>
      </c>
      <c r="H620" s="4">
        <f>+CHOOSE(Tbl_2021[[#This Row],[Type of Service]],2020,3500,3200,4100,5300)*Tbl_2021[[#This Row],[No of Visits]]</f>
        <v>10100</v>
      </c>
    </row>
    <row r="621" spans="2:8" x14ac:dyDescent="0.3">
      <c r="B621" t="s">
        <v>633</v>
      </c>
      <c r="C621" t="s">
        <v>1212</v>
      </c>
      <c r="D621" t="s">
        <v>6</v>
      </c>
      <c r="E621">
        <v>4</v>
      </c>
      <c r="F621" t="str">
        <f>+CHOOSE(Tbl_2021[[#This Row],[Type of Service]],"PEST","Disinfe","Rodent","Bird","Termite")</f>
        <v>Bird</v>
      </c>
      <c r="G621">
        <v>11</v>
      </c>
      <c r="H621" s="4">
        <f>+CHOOSE(Tbl_2021[[#This Row],[Type of Service]],2020,3500,3200,4100,5300)*Tbl_2021[[#This Row],[No of Visits]]</f>
        <v>45100</v>
      </c>
    </row>
    <row r="622" spans="2:8" x14ac:dyDescent="0.3">
      <c r="B622" t="s">
        <v>634</v>
      </c>
      <c r="C622" t="s">
        <v>1213</v>
      </c>
      <c r="D622" t="s">
        <v>8</v>
      </c>
      <c r="E622">
        <v>5</v>
      </c>
      <c r="F622" t="str">
        <f>+CHOOSE(Tbl_2021[[#This Row],[Type of Service]],"PEST","Disinfe","Rodent","Bird","Termite")</f>
        <v>Termite</v>
      </c>
      <c r="G622">
        <v>31</v>
      </c>
      <c r="H622" s="4">
        <f>+CHOOSE(Tbl_2021[[#This Row],[Type of Service]],2020,3500,3200,4100,5300)*Tbl_2021[[#This Row],[No of Visits]]</f>
        <v>164300</v>
      </c>
    </row>
    <row r="623" spans="2:8" x14ac:dyDescent="0.3">
      <c r="B623" t="s">
        <v>635</v>
      </c>
      <c r="C623" t="s">
        <v>1214</v>
      </c>
      <c r="D623" t="s">
        <v>10</v>
      </c>
      <c r="E623">
        <v>5</v>
      </c>
      <c r="F623" t="str">
        <f>+CHOOSE(Tbl_2021[[#This Row],[Type of Service]],"PEST","Disinfe","Rodent","Bird","Termite")</f>
        <v>Termite</v>
      </c>
      <c r="G623">
        <v>15</v>
      </c>
      <c r="H623" s="4">
        <f>+CHOOSE(Tbl_2021[[#This Row],[Type of Service]],2020,3500,3200,4100,5300)*Tbl_2021[[#This Row],[No of Visits]]</f>
        <v>79500</v>
      </c>
    </row>
    <row r="624" spans="2:8" x14ac:dyDescent="0.3">
      <c r="B624" t="s">
        <v>636</v>
      </c>
      <c r="C624" t="s">
        <v>1215</v>
      </c>
      <c r="D624" t="s">
        <v>12</v>
      </c>
      <c r="E624">
        <v>1</v>
      </c>
      <c r="F624" t="str">
        <f>+CHOOSE(Tbl_2021[[#This Row],[Type of Service]],"PEST","Disinfe","Rodent","Bird","Termite")</f>
        <v>PEST</v>
      </c>
      <c r="G624">
        <v>10</v>
      </c>
      <c r="H624" s="4">
        <f>+CHOOSE(Tbl_2021[[#This Row],[Type of Service]],2020,3500,3200,4100,5300)*Tbl_2021[[#This Row],[No of Visits]]</f>
        <v>20200</v>
      </c>
    </row>
    <row r="625" spans="2:8" x14ac:dyDescent="0.3">
      <c r="B625" t="s">
        <v>637</v>
      </c>
      <c r="C625" t="s">
        <v>1047</v>
      </c>
      <c r="D625" t="s">
        <v>14</v>
      </c>
      <c r="E625">
        <v>2</v>
      </c>
      <c r="F625" t="str">
        <f>+CHOOSE(Tbl_2021[[#This Row],[Type of Service]],"PEST","Disinfe","Rodent","Bird","Termite")</f>
        <v>Disinfe</v>
      </c>
      <c r="G625">
        <v>32</v>
      </c>
      <c r="H625" s="4">
        <f>+CHOOSE(Tbl_2021[[#This Row],[Type of Service]],2020,3500,3200,4100,5300)*Tbl_2021[[#This Row],[No of Visits]]</f>
        <v>112000</v>
      </c>
    </row>
    <row r="626" spans="2:8" x14ac:dyDescent="0.3">
      <c r="B626" t="s">
        <v>638</v>
      </c>
      <c r="C626" t="s">
        <v>1216</v>
      </c>
      <c r="D626" t="s">
        <v>16</v>
      </c>
      <c r="E626">
        <v>5</v>
      </c>
      <c r="F626" t="str">
        <f>+CHOOSE(Tbl_2021[[#This Row],[Type of Service]],"PEST","Disinfe","Rodent","Bird","Termite")</f>
        <v>Termite</v>
      </c>
      <c r="G626">
        <v>26</v>
      </c>
      <c r="H626" s="4">
        <f>+CHOOSE(Tbl_2021[[#This Row],[Type of Service]],2020,3500,3200,4100,5300)*Tbl_2021[[#This Row],[No of Visits]]</f>
        <v>137800</v>
      </c>
    </row>
    <row r="627" spans="2:8" x14ac:dyDescent="0.3">
      <c r="B627" t="s">
        <v>639</v>
      </c>
      <c r="C627" t="s">
        <v>1217</v>
      </c>
      <c r="D627" t="s">
        <v>4</v>
      </c>
      <c r="E627">
        <v>2</v>
      </c>
      <c r="F627" t="str">
        <f>+CHOOSE(Tbl_2021[[#This Row],[Type of Service]],"PEST","Disinfe","Rodent","Bird","Termite")</f>
        <v>Disinfe</v>
      </c>
      <c r="G627">
        <v>34</v>
      </c>
      <c r="H627" s="4">
        <f>+CHOOSE(Tbl_2021[[#This Row],[Type of Service]],2020,3500,3200,4100,5300)*Tbl_2021[[#This Row],[No of Visits]]</f>
        <v>119000</v>
      </c>
    </row>
    <row r="628" spans="2:8" x14ac:dyDescent="0.3">
      <c r="B628" t="s">
        <v>640</v>
      </c>
      <c r="C628" t="s">
        <v>1218</v>
      </c>
      <c r="D628" t="s">
        <v>6</v>
      </c>
      <c r="E628">
        <v>1</v>
      </c>
      <c r="F628" t="str">
        <f>+CHOOSE(Tbl_2021[[#This Row],[Type of Service]],"PEST","Disinfe","Rodent","Bird","Termite")</f>
        <v>PEST</v>
      </c>
      <c r="G628">
        <v>34</v>
      </c>
      <c r="H628" s="4">
        <f>+CHOOSE(Tbl_2021[[#This Row],[Type of Service]],2020,3500,3200,4100,5300)*Tbl_2021[[#This Row],[No of Visits]]</f>
        <v>68680</v>
      </c>
    </row>
    <row r="629" spans="2:8" x14ac:dyDescent="0.3">
      <c r="B629" t="s">
        <v>641</v>
      </c>
      <c r="C629" t="s">
        <v>1219</v>
      </c>
      <c r="D629" t="s">
        <v>8</v>
      </c>
      <c r="E629">
        <v>5</v>
      </c>
      <c r="F629" t="str">
        <f>+CHOOSE(Tbl_2021[[#This Row],[Type of Service]],"PEST","Disinfe","Rodent","Bird","Termite")</f>
        <v>Termite</v>
      </c>
      <c r="G629">
        <v>2</v>
      </c>
      <c r="H629" s="4">
        <f>+CHOOSE(Tbl_2021[[#This Row],[Type of Service]],2020,3500,3200,4100,5300)*Tbl_2021[[#This Row],[No of Visits]]</f>
        <v>10600</v>
      </c>
    </row>
    <row r="630" spans="2:8" x14ac:dyDescent="0.3">
      <c r="B630" t="s">
        <v>642</v>
      </c>
      <c r="C630" t="s">
        <v>1220</v>
      </c>
      <c r="D630" t="s">
        <v>10</v>
      </c>
      <c r="E630">
        <v>4</v>
      </c>
      <c r="F630" t="str">
        <f>+CHOOSE(Tbl_2021[[#This Row],[Type of Service]],"PEST","Disinfe","Rodent","Bird","Termite")</f>
        <v>Bird</v>
      </c>
      <c r="G630">
        <v>15</v>
      </c>
      <c r="H630" s="4">
        <f>+CHOOSE(Tbl_2021[[#This Row],[Type of Service]],2020,3500,3200,4100,5300)*Tbl_2021[[#This Row],[No of Visits]]</f>
        <v>61500</v>
      </c>
    </row>
    <row r="631" spans="2:8" x14ac:dyDescent="0.3">
      <c r="B631" t="s">
        <v>643</v>
      </c>
      <c r="C631" t="s">
        <v>1221</v>
      </c>
      <c r="D631" t="s">
        <v>12</v>
      </c>
      <c r="E631">
        <v>5</v>
      </c>
      <c r="F631" t="str">
        <f>+CHOOSE(Tbl_2021[[#This Row],[Type of Service]],"PEST","Disinfe","Rodent","Bird","Termite")</f>
        <v>Termite</v>
      </c>
      <c r="G631">
        <v>1</v>
      </c>
      <c r="H631" s="4">
        <f>+CHOOSE(Tbl_2021[[#This Row],[Type of Service]],2020,3500,3200,4100,5300)*Tbl_2021[[#This Row],[No of Visits]]</f>
        <v>5300</v>
      </c>
    </row>
    <row r="632" spans="2:8" x14ac:dyDescent="0.3">
      <c r="B632" t="s">
        <v>644</v>
      </c>
      <c r="C632" t="s">
        <v>1222</v>
      </c>
      <c r="D632" t="s">
        <v>14</v>
      </c>
      <c r="E632">
        <v>1</v>
      </c>
      <c r="F632" t="str">
        <f>+CHOOSE(Tbl_2021[[#This Row],[Type of Service]],"PEST","Disinfe","Rodent","Bird","Termite")</f>
        <v>PEST</v>
      </c>
      <c r="G632">
        <v>10</v>
      </c>
      <c r="H632" s="4">
        <f>+CHOOSE(Tbl_2021[[#This Row],[Type of Service]],2020,3500,3200,4100,5300)*Tbl_2021[[#This Row],[No of Visits]]</f>
        <v>20200</v>
      </c>
    </row>
    <row r="633" spans="2:8" x14ac:dyDescent="0.3">
      <c r="B633" t="s">
        <v>645</v>
      </c>
      <c r="C633" t="s">
        <v>1223</v>
      </c>
      <c r="D633" t="s">
        <v>16</v>
      </c>
      <c r="E633">
        <v>4</v>
      </c>
      <c r="F633" t="str">
        <f>+CHOOSE(Tbl_2021[[#This Row],[Type of Service]],"PEST","Disinfe","Rodent","Bird","Termite")</f>
        <v>Bird</v>
      </c>
      <c r="G633">
        <v>16</v>
      </c>
      <c r="H633" s="4">
        <f>+CHOOSE(Tbl_2021[[#This Row],[Type of Service]],2020,3500,3200,4100,5300)*Tbl_2021[[#This Row],[No of Visits]]</f>
        <v>65600</v>
      </c>
    </row>
    <row r="634" spans="2:8" x14ac:dyDescent="0.3">
      <c r="B634" t="s">
        <v>646</v>
      </c>
      <c r="C634" t="s">
        <v>1224</v>
      </c>
      <c r="D634" t="s">
        <v>4</v>
      </c>
      <c r="E634">
        <v>5</v>
      </c>
      <c r="F634" t="str">
        <f>+CHOOSE(Tbl_2021[[#This Row],[Type of Service]],"PEST","Disinfe","Rodent","Bird","Termite")</f>
        <v>Termite</v>
      </c>
      <c r="G634">
        <v>28</v>
      </c>
      <c r="H634" s="4">
        <f>+CHOOSE(Tbl_2021[[#This Row],[Type of Service]],2020,3500,3200,4100,5300)*Tbl_2021[[#This Row],[No of Visits]]</f>
        <v>148400</v>
      </c>
    </row>
    <row r="635" spans="2:8" x14ac:dyDescent="0.3">
      <c r="B635" t="s">
        <v>647</v>
      </c>
      <c r="C635" t="s">
        <v>1225</v>
      </c>
      <c r="D635" t="s">
        <v>6</v>
      </c>
      <c r="E635">
        <v>5</v>
      </c>
      <c r="F635" t="str">
        <f>+CHOOSE(Tbl_2021[[#This Row],[Type of Service]],"PEST","Disinfe","Rodent","Bird","Termite")</f>
        <v>Termite</v>
      </c>
      <c r="G635">
        <v>24</v>
      </c>
      <c r="H635" s="4">
        <f>+CHOOSE(Tbl_2021[[#This Row],[Type of Service]],2020,3500,3200,4100,5300)*Tbl_2021[[#This Row],[No of Visits]]</f>
        <v>127200</v>
      </c>
    </row>
    <row r="636" spans="2:8" x14ac:dyDescent="0.3">
      <c r="B636" t="s">
        <v>648</v>
      </c>
      <c r="C636" t="s">
        <v>1226</v>
      </c>
      <c r="D636" t="s">
        <v>8</v>
      </c>
      <c r="E636">
        <v>5</v>
      </c>
      <c r="F636" t="str">
        <f>+CHOOSE(Tbl_2021[[#This Row],[Type of Service]],"PEST","Disinfe","Rodent","Bird","Termite")</f>
        <v>Termite</v>
      </c>
      <c r="G636">
        <v>7</v>
      </c>
      <c r="H636" s="4">
        <f>+CHOOSE(Tbl_2021[[#This Row],[Type of Service]],2020,3500,3200,4100,5300)*Tbl_2021[[#This Row],[No of Visits]]</f>
        <v>37100</v>
      </c>
    </row>
    <row r="637" spans="2:8" x14ac:dyDescent="0.3">
      <c r="B637" t="s">
        <v>649</v>
      </c>
      <c r="C637" t="s">
        <v>1227</v>
      </c>
      <c r="D637" t="s">
        <v>10</v>
      </c>
      <c r="E637">
        <v>5</v>
      </c>
      <c r="F637" t="str">
        <f>+CHOOSE(Tbl_2021[[#This Row],[Type of Service]],"PEST","Disinfe","Rodent","Bird","Termite")</f>
        <v>Termite</v>
      </c>
      <c r="G637">
        <v>25</v>
      </c>
      <c r="H637" s="4">
        <f>+CHOOSE(Tbl_2021[[#This Row],[Type of Service]],2020,3500,3200,4100,5300)*Tbl_2021[[#This Row],[No of Visits]]</f>
        <v>132500</v>
      </c>
    </row>
    <row r="638" spans="2:8" x14ac:dyDescent="0.3">
      <c r="B638" t="s">
        <v>650</v>
      </c>
      <c r="C638" t="s">
        <v>819</v>
      </c>
      <c r="D638" t="s">
        <v>12</v>
      </c>
      <c r="E638">
        <v>5</v>
      </c>
      <c r="F638" t="str">
        <f>+CHOOSE(Tbl_2021[[#This Row],[Type of Service]],"PEST","Disinfe","Rodent","Bird","Termite")</f>
        <v>Termite</v>
      </c>
      <c r="G638">
        <v>20</v>
      </c>
      <c r="H638" s="4">
        <f>+CHOOSE(Tbl_2021[[#This Row],[Type of Service]],2020,3500,3200,4100,5300)*Tbl_2021[[#This Row],[No of Visits]]</f>
        <v>106000</v>
      </c>
    </row>
    <row r="639" spans="2:8" x14ac:dyDescent="0.3">
      <c r="B639" t="s">
        <v>651</v>
      </c>
      <c r="C639" t="s">
        <v>1228</v>
      </c>
      <c r="D639" t="s">
        <v>14</v>
      </c>
      <c r="E639">
        <v>4</v>
      </c>
      <c r="F639" t="str">
        <f>+CHOOSE(Tbl_2021[[#This Row],[Type of Service]],"PEST","Disinfe","Rodent","Bird","Termite")</f>
        <v>Bird</v>
      </c>
      <c r="G639">
        <v>24</v>
      </c>
      <c r="H639" s="4">
        <f>+CHOOSE(Tbl_2021[[#This Row],[Type of Service]],2020,3500,3200,4100,5300)*Tbl_2021[[#This Row],[No of Visits]]</f>
        <v>98400</v>
      </c>
    </row>
    <row r="640" spans="2:8" x14ac:dyDescent="0.3">
      <c r="B640" t="s">
        <v>652</v>
      </c>
      <c r="C640" t="s">
        <v>1229</v>
      </c>
      <c r="D640" t="s">
        <v>16</v>
      </c>
      <c r="E640">
        <v>4</v>
      </c>
      <c r="F640" t="str">
        <f>+CHOOSE(Tbl_2021[[#This Row],[Type of Service]],"PEST","Disinfe","Rodent","Bird","Termite")</f>
        <v>Bird</v>
      </c>
      <c r="G640">
        <v>27</v>
      </c>
      <c r="H640" s="4">
        <f>+CHOOSE(Tbl_2021[[#This Row],[Type of Service]],2020,3500,3200,4100,5300)*Tbl_2021[[#This Row],[No of Visits]]</f>
        <v>110700</v>
      </c>
    </row>
    <row r="641" spans="2:8" x14ac:dyDescent="0.3">
      <c r="B641" t="s">
        <v>653</v>
      </c>
      <c r="C641" t="s">
        <v>859</v>
      </c>
      <c r="D641" t="s">
        <v>4</v>
      </c>
      <c r="E641">
        <v>5</v>
      </c>
      <c r="F641" t="str">
        <f>+CHOOSE(Tbl_2021[[#This Row],[Type of Service]],"PEST","Disinfe","Rodent","Bird","Termite")</f>
        <v>Termite</v>
      </c>
      <c r="G641">
        <v>29</v>
      </c>
      <c r="H641" s="4">
        <f>+CHOOSE(Tbl_2021[[#This Row],[Type of Service]],2020,3500,3200,4100,5300)*Tbl_2021[[#This Row],[No of Visits]]</f>
        <v>153700</v>
      </c>
    </row>
    <row r="642" spans="2:8" x14ac:dyDescent="0.3">
      <c r="B642" t="s">
        <v>654</v>
      </c>
      <c r="C642" t="s">
        <v>1230</v>
      </c>
      <c r="D642" t="s">
        <v>6</v>
      </c>
      <c r="E642">
        <v>4</v>
      </c>
      <c r="F642" t="str">
        <f>+CHOOSE(Tbl_2021[[#This Row],[Type of Service]],"PEST","Disinfe","Rodent","Bird","Termite")</f>
        <v>Bird</v>
      </c>
      <c r="G642">
        <v>26</v>
      </c>
      <c r="H642" s="4">
        <f>+CHOOSE(Tbl_2021[[#This Row],[Type of Service]],2020,3500,3200,4100,5300)*Tbl_2021[[#This Row],[No of Visits]]</f>
        <v>106600</v>
      </c>
    </row>
    <row r="643" spans="2:8" x14ac:dyDescent="0.3">
      <c r="B643" t="s">
        <v>655</v>
      </c>
      <c r="C643" t="s">
        <v>1231</v>
      </c>
      <c r="D643" t="s">
        <v>8</v>
      </c>
      <c r="E643">
        <v>2</v>
      </c>
      <c r="F643" t="str">
        <f>+CHOOSE(Tbl_2021[[#This Row],[Type of Service]],"PEST","Disinfe","Rodent","Bird","Termite")</f>
        <v>Disinfe</v>
      </c>
      <c r="G643">
        <v>25</v>
      </c>
      <c r="H643" s="4">
        <f>+CHOOSE(Tbl_2021[[#This Row],[Type of Service]],2020,3500,3200,4100,5300)*Tbl_2021[[#This Row],[No of Visits]]</f>
        <v>87500</v>
      </c>
    </row>
    <row r="644" spans="2:8" x14ac:dyDescent="0.3">
      <c r="B644" t="s">
        <v>656</v>
      </c>
      <c r="C644" t="s">
        <v>1232</v>
      </c>
      <c r="D644" t="s">
        <v>10</v>
      </c>
      <c r="E644">
        <v>1</v>
      </c>
      <c r="F644" t="str">
        <f>+CHOOSE(Tbl_2021[[#This Row],[Type of Service]],"PEST","Disinfe","Rodent","Bird","Termite")</f>
        <v>PEST</v>
      </c>
      <c r="G644">
        <v>20</v>
      </c>
      <c r="H644" s="4">
        <f>+CHOOSE(Tbl_2021[[#This Row],[Type of Service]],2020,3500,3200,4100,5300)*Tbl_2021[[#This Row],[No of Visits]]</f>
        <v>40400</v>
      </c>
    </row>
    <row r="645" spans="2:8" x14ac:dyDescent="0.3">
      <c r="B645" t="s">
        <v>657</v>
      </c>
      <c r="C645" t="s">
        <v>1233</v>
      </c>
      <c r="D645" t="s">
        <v>12</v>
      </c>
      <c r="E645">
        <v>5</v>
      </c>
      <c r="F645" t="str">
        <f>+CHOOSE(Tbl_2021[[#This Row],[Type of Service]],"PEST","Disinfe","Rodent","Bird","Termite")</f>
        <v>Termite</v>
      </c>
      <c r="G645">
        <v>28</v>
      </c>
      <c r="H645" s="4">
        <f>+CHOOSE(Tbl_2021[[#This Row],[Type of Service]],2020,3500,3200,4100,5300)*Tbl_2021[[#This Row],[No of Visits]]</f>
        <v>148400</v>
      </c>
    </row>
    <row r="646" spans="2:8" x14ac:dyDescent="0.3">
      <c r="B646" t="s">
        <v>658</v>
      </c>
      <c r="C646" t="s">
        <v>1234</v>
      </c>
      <c r="D646" t="s">
        <v>14</v>
      </c>
      <c r="E646">
        <v>4</v>
      </c>
      <c r="F646" t="str">
        <f>+CHOOSE(Tbl_2021[[#This Row],[Type of Service]],"PEST","Disinfe","Rodent","Bird","Termite")</f>
        <v>Bird</v>
      </c>
      <c r="G646">
        <v>26</v>
      </c>
      <c r="H646" s="4">
        <f>+CHOOSE(Tbl_2021[[#This Row],[Type of Service]],2020,3500,3200,4100,5300)*Tbl_2021[[#This Row],[No of Visits]]</f>
        <v>106600</v>
      </c>
    </row>
    <row r="647" spans="2:8" x14ac:dyDescent="0.3">
      <c r="B647" t="s">
        <v>659</v>
      </c>
      <c r="C647" t="s">
        <v>1235</v>
      </c>
      <c r="D647" t="s">
        <v>16</v>
      </c>
      <c r="E647">
        <v>1</v>
      </c>
      <c r="F647" t="str">
        <f>+CHOOSE(Tbl_2021[[#This Row],[Type of Service]],"PEST","Disinfe","Rodent","Bird","Termite")</f>
        <v>PEST</v>
      </c>
      <c r="G647">
        <v>8</v>
      </c>
      <c r="H647" s="4">
        <f>+CHOOSE(Tbl_2021[[#This Row],[Type of Service]],2020,3500,3200,4100,5300)*Tbl_2021[[#This Row],[No of Visits]]</f>
        <v>16160</v>
      </c>
    </row>
    <row r="648" spans="2:8" x14ac:dyDescent="0.3">
      <c r="B648" t="s">
        <v>660</v>
      </c>
      <c r="C648" t="s">
        <v>1081</v>
      </c>
      <c r="D648" t="s">
        <v>4</v>
      </c>
      <c r="E648">
        <v>5</v>
      </c>
      <c r="F648" t="str">
        <f>+CHOOSE(Tbl_2021[[#This Row],[Type of Service]],"PEST","Disinfe","Rodent","Bird","Termite")</f>
        <v>Termite</v>
      </c>
      <c r="G648">
        <v>13</v>
      </c>
      <c r="H648" s="4">
        <f>+CHOOSE(Tbl_2021[[#This Row],[Type of Service]],2020,3500,3200,4100,5300)*Tbl_2021[[#This Row],[No of Visits]]</f>
        <v>68900</v>
      </c>
    </row>
    <row r="649" spans="2:8" x14ac:dyDescent="0.3">
      <c r="B649" t="s">
        <v>661</v>
      </c>
      <c r="C649" t="s">
        <v>1236</v>
      </c>
      <c r="D649" t="s">
        <v>6</v>
      </c>
      <c r="E649">
        <v>4</v>
      </c>
      <c r="F649" t="str">
        <f>+CHOOSE(Tbl_2021[[#This Row],[Type of Service]],"PEST","Disinfe","Rodent","Bird","Termite")</f>
        <v>Bird</v>
      </c>
      <c r="G649">
        <v>21</v>
      </c>
      <c r="H649" s="4">
        <f>+CHOOSE(Tbl_2021[[#This Row],[Type of Service]],2020,3500,3200,4100,5300)*Tbl_2021[[#This Row],[No of Visits]]</f>
        <v>86100</v>
      </c>
    </row>
    <row r="650" spans="2:8" x14ac:dyDescent="0.3">
      <c r="B650" t="s">
        <v>662</v>
      </c>
      <c r="C650" t="s">
        <v>719</v>
      </c>
      <c r="D650" t="s">
        <v>8</v>
      </c>
      <c r="E650">
        <v>5</v>
      </c>
      <c r="F650" t="str">
        <f>+CHOOSE(Tbl_2021[[#This Row],[Type of Service]],"PEST","Disinfe","Rodent","Bird","Termite")</f>
        <v>Termite</v>
      </c>
      <c r="G650">
        <v>14</v>
      </c>
      <c r="H650" s="4">
        <f>+CHOOSE(Tbl_2021[[#This Row],[Type of Service]],2020,3500,3200,4100,5300)*Tbl_2021[[#This Row],[No of Visits]]</f>
        <v>74200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A95-8961-4116-AE47-D274AA13C24F}">
  <dimension ref="B3:H650"/>
  <sheetViews>
    <sheetView workbookViewId="0">
      <selection activeCell="K15" sqref="K15"/>
    </sheetView>
  </sheetViews>
  <sheetFormatPr defaultRowHeight="14.4" x14ac:dyDescent="0.3"/>
  <cols>
    <col min="2" max="2" width="13.33203125" customWidth="1"/>
    <col min="3" max="3" width="22.77734375" customWidth="1"/>
    <col min="4" max="4" width="15.6640625" bestFit="1" customWidth="1"/>
    <col min="5" max="5" width="10.5546875" bestFit="1" customWidth="1"/>
    <col min="8" max="8" width="14.33203125" style="4" bestFit="1" customWidth="1"/>
  </cols>
  <sheetData>
    <row r="3" spans="2:8" ht="28.8" x14ac:dyDescent="0.3">
      <c r="B3" s="1" t="s">
        <v>0</v>
      </c>
      <c r="C3" s="1" t="s">
        <v>1</v>
      </c>
      <c r="D3" s="1" t="s">
        <v>2</v>
      </c>
      <c r="E3" s="2" t="s">
        <v>663</v>
      </c>
      <c r="F3" s="1" t="s">
        <v>664</v>
      </c>
      <c r="G3" s="1" t="s">
        <v>665</v>
      </c>
      <c r="H3" s="3" t="s">
        <v>666</v>
      </c>
    </row>
    <row r="4" spans="2:8" x14ac:dyDescent="0.3">
      <c r="B4" t="s">
        <v>3</v>
      </c>
      <c r="C4" t="s">
        <v>688</v>
      </c>
      <c r="D4" t="s">
        <v>4</v>
      </c>
      <c r="E4">
        <v>4</v>
      </c>
      <c r="F4" t="str">
        <f>+CHOOSE(Tbl_2020[[#This Row],[Type of Service]],"PEST","Disinfe","Rodent","Bird","Termite")</f>
        <v>Bird</v>
      </c>
      <c r="G4">
        <v>26</v>
      </c>
      <c r="H4" s="4">
        <f>+CHOOSE(Tbl_2020[[#This Row],[Type of Service]],2000,3000,3500,4500,5000)*Tbl_2020[[#This Row],[No of Visits]]</f>
        <v>117000</v>
      </c>
    </row>
    <row r="5" spans="2:8" x14ac:dyDescent="0.3">
      <c r="B5" t="s">
        <v>5</v>
      </c>
      <c r="C5" t="s">
        <v>689</v>
      </c>
      <c r="D5" t="s">
        <v>6</v>
      </c>
      <c r="E5">
        <v>4</v>
      </c>
      <c r="F5" t="str">
        <f>+CHOOSE(Tbl_2020[[#This Row],[Type of Service]],"PEST","Disinfe","Rodent","Bird","Termite")</f>
        <v>Bird</v>
      </c>
      <c r="G5">
        <v>16</v>
      </c>
      <c r="H5" s="4">
        <f>+CHOOSE(Tbl_2020[[#This Row],[Type of Service]],2000,3000,3500,4500,5000)*Tbl_2020[[#This Row],[No of Visits]]</f>
        <v>72000</v>
      </c>
    </row>
    <row r="6" spans="2:8" x14ac:dyDescent="0.3">
      <c r="B6" t="s">
        <v>7</v>
      </c>
      <c r="C6" t="s">
        <v>690</v>
      </c>
      <c r="D6" t="s">
        <v>8</v>
      </c>
      <c r="E6">
        <v>2</v>
      </c>
      <c r="F6" t="str">
        <f>+CHOOSE(Tbl_2020[[#This Row],[Type of Service]],"PEST","Disinfe","Rodent","Bird","Termite")</f>
        <v>Disinfe</v>
      </c>
      <c r="G6">
        <v>22</v>
      </c>
      <c r="H6" s="4">
        <f>+CHOOSE(Tbl_2020[[#This Row],[Type of Service]],2000,3000,3500,4500,5000)*Tbl_2020[[#This Row],[No of Visits]]</f>
        <v>66000</v>
      </c>
    </row>
    <row r="7" spans="2:8" x14ac:dyDescent="0.3">
      <c r="B7" t="s">
        <v>9</v>
      </c>
      <c r="C7" t="s">
        <v>691</v>
      </c>
      <c r="D7" t="s">
        <v>10</v>
      </c>
      <c r="E7">
        <v>3</v>
      </c>
      <c r="F7" t="str">
        <f>+CHOOSE(Tbl_2020[[#This Row],[Type of Service]],"PEST","Disinfe","Rodent","Bird","Termite")</f>
        <v>Rodent</v>
      </c>
      <c r="G7">
        <v>29</v>
      </c>
      <c r="H7" s="4">
        <f>+CHOOSE(Tbl_2020[[#This Row],[Type of Service]],2000,3000,3500,4500,5000)*Tbl_2020[[#This Row],[No of Visits]]</f>
        <v>101500</v>
      </c>
    </row>
    <row r="8" spans="2:8" x14ac:dyDescent="0.3">
      <c r="B8" t="s">
        <v>11</v>
      </c>
      <c r="C8" t="s">
        <v>692</v>
      </c>
      <c r="D8" t="s">
        <v>12</v>
      </c>
      <c r="E8">
        <v>1</v>
      </c>
      <c r="F8" t="str">
        <f>+CHOOSE(Tbl_2020[[#This Row],[Type of Service]],"PEST","Disinfe","Rodent","Bird","Termite")</f>
        <v>PEST</v>
      </c>
      <c r="G8">
        <v>20</v>
      </c>
      <c r="H8" s="4">
        <f>+CHOOSE(Tbl_2020[[#This Row],[Type of Service]],2000,3000,3500,4500,5000)*Tbl_2020[[#This Row],[No of Visits]]</f>
        <v>40000</v>
      </c>
    </row>
    <row r="9" spans="2:8" x14ac:dyDescent="0.3">
      <c r="B9" t="s">
        <v>13</v>
      </c>
      <c r="C9" t="s">
        <v>693</v>
      </c>
      <c r="D9" t="s">
        <v>14</v>
      </c>
      <c r="E9">
        <v>2</v>
      </c>
      <c r="F9" t="str">
        <f>+CHOOSE(Tbl_2020[[#This Row],[Type of Service]],"PEST","Disinfe","Rodent","Bird","Termite")</f>
        <v>Disinfe</v>
      </c>
      <c r="G9">
        <v>2</v>
      </c>
      <c r="H9" s="4">
        <f>+CHOOSE(Tbl_2020[[#This Row],[Type of Service]],2000,3000,3500,4500,5000)*Tbl_2020[[#This Row],[No of Visits]]</f>
        <v>6000</v>
      </c>
    </row>
    <row r="10" spans="2:8" x14ac:dyDescent="0.3">
      <c r="B10" t="s">
        <v>15</v>
      </c>
      <c r="C10" t="s">
        <v>694</v>
      </c>
      <c r="D10" t="s">
        <v>16</v>
      </c>
      <c r="E10">
        <v>3</v>
      </c>
      <c r="F10" t="str">
        <f>+CHOOSE(Tbl_2020[[#This Row],[Type of Service]],"PEST","Disinfe","Rodent","Bird","Termite")</f>
        <v>Rodent</v>
      </c>
      <c r="G10">
        <v>22</v>
      </c>
      <c r="H10" s="4">
        <f>+CHOOSE(Tbl_2020[[#This Row],[Type of Service]],2000,3000,3500,4500,5000)*Tbl_2020[[#This Row],[No of Visits]]</f>
        <v>77000</v>
      </c>
    </row>
    <row r="11" spans="2:8" x14ac:dyDescent="0.3">
      <c r="B11" t="s">
        <v>17</v>
      </c>
      <c r="C11" t="s">
        <v>695</v>
      </c>
      <c r="D11" t="s">
        <v>4</v>
      </c>
      <c r="E11">
        <v>1</v>
      </c>
      <c r="F11" t="str">
        <f>+CHOOSE(Tbl_2020[[#This Row],[Type of Service]],"PEST","Disinfe","Rodent","Bird","Termite")</f>
        <v>PEST</v>
      </c>
      <c r="G11">
        <v>16</v>
      </c>
      <c r="H11" s="4">
        <f>+CHOOSE(Tbl_2020[[#This Row],[Type of Service]],2000,3000,3500,4500,5000)*Tbl_2020[[#This Row],[No of Visits]]</f>
        <v>32000</v>
      </c>
    </row>
    <row r="12" spans="2:8" x14ac:dyDescent="0.3">
      <c r="B12" t="s">
        <v>18</v>
      </c>
      <c r="C12" t="s">
        <v>696</v>
      </c>
      <c r="D12" t="s">
        <v>6</v>
      </c>
      <c r="E12">
        <v>1</v>
      </c>
      <c r="F12" t="str">
        <f>+CHOOSE(Tbl_2020[[#This Row],[Type of Service]],"PEST","Disinfe","Rodent","Bird","Termite")</f>
        <v>PEST</v>
      </c>
      <c r="G12">
        <v>14</v>
      </c>
      <c r="H12" s="4">
        <f>+CHOOSE(Tbl_2020[[#This Row],[Type of Service]],2000,3000,3500,4500,5000)*Tbl_2020[[#This Row],[No of Visits]]</f>
        <v>28000</v>
      </c>
    </row>
    <row r="13" spans="2:8" x14ac:dyDescent="0.3">
      <c r="B13" t="s">
        <v>19</v>
      </c>
      <c r="C13" t="s">
        <v>697</v>
      </c>
      <c r="D13" t="s">
        <v>8</v>
      </c>
      <c r="E13">
        <v>2</v>
      </c>
      <c r="F13" t="str">
        <f>+CHOOSE(Tbl_2020[[#This Row],[Type of Service]],"PEST","Disinfe","Rodent","Bird","Termite")</f>
        <v>Disinfe</v>
      </c>
      <c r="G13">
        <v>21</v>
      </c>
      <c r="H13" s="4">
        <f>+CHOOSE(Tbl_2020[[#This Row],[Type of Service]],2000,3000,3500,4500,5000)*Tbl_2020[[#This Row],[No of Visits]]</f>
        <v>63000</v>
      </c>
    </row>
    <row r="14" spans="2:8" x14ac:dyDescent="0.3">
      <c r="B14" t="s">
        <v>20</v>
      </c>
      <c r="C14" t="s">
        <v>698</v>
      </c>
      <c r="D14" t="s">
        <v>10</v>
      </c>
      <c r="E14">
        <v>1</v>
      </c>
      <c r="F14" t="str">
        <f>+CHOOSE(Tbl_2020[[#This Row],[Type of Service]],"PEST","Disinfe","Rodent","Bird","Termite")</f>
        <v>PEST</v>
      </c>
      <c r="G14">
        <v>17</v>
      </c>
      <c r="H14" s="4">
        <f>+CHOOSE(Tbl_2020[[#This Row],[Type of Service]],2000,3000,3500,4500,5000)*Tbl_2020[[#This Row],[No of Visits]]</f>
        <v>34000</v>
      </c>
    </row>
    <row r="15" spans="2:8" x14ac:dyDescent="0.3">
      <c r="B15" t="s">
        <v>21</v>
      </c>
      <c r="C15" t="s">
        <v>699</v>
      </c>
      <c r="D15" t="s">
        <v>12</v>
      </c>
      <c r="E15">
        <v>3</v>
      </c>
      <c r="F15" t="str">
        <f>+CHOOSE(Tbl_2020[[#This Row],[Type of Service]],"PEST","Disinfe","Rodent","Bird","Termite")</f>
        <v>Rodent</v>
      </c>
      <c r="G15">
        <v>12</v>
      </c>
      <c r="H15" s="4">
        <f>+CHOOSE(Tbl_2020[[#This Row],[Type of Service]],2000,3000,3500,4500,5000)*Tbl_2020[[#This Row],[No of Visits]]</f>
        <v>42000</v>
      </c>
    </row>
    <row r="16" spans="2:8" x14ac:dyDescent="0.3">
      <c r="B16" t="s">
        <v>22</v>
      </c>
      <c r="C16" t="s">
        <v>700</v>
      </c>
      <c r="D16" t="s">
        <v>14</v>
      </c>
      <c r="E16">
        <v>4</v>
      </c>
      <c r="F16" t="str">
        <f>+CHOOSE(Tbl_2020[[#This Row],[Type of Service]],"PEST","Disinfe","Rodent","Bird","Termite")</f>
        <v>Bird</v>
      </c>
      <c r="G16">
        <v>6</v>
      </c>
      <c r="H16" s="4">
        <f>+CHOOSE(Tbl_2020[[#This Row],[Type of Service]],2000,3000,3500,4500,5000)*Tbl_2020[[#This Row],[No of Visits]]</f>
        <v>27000</v>
      </c>
    </row>
    <row r="17" spans="2:8" x14ac:dyDescent="0.3">
      <c r="B17" t="s">
        <v>23</v>
      </c>
      <c r="C17" t="s">
        <v>701</v>
      </c>
      <c r="D17" t="s">
        <v>16</v>
      </c>
      <c r="E17">
        <v>1</v>
      </c>
      <c r="F17" t="str">
        <f>+CHOOSE(Tbl_2020[[#This Row],[Type of Service]],"PEST","Disinfe","Rodent","Bird","Termite")</f>
        <v>PEST</v>
      </c>
      <c r="G17">
        <v>12</v>
      </c>
      <c r="H17" s="4">
        <f>+CHOOSE(Tbl_2020[[#This Row],[Type of Service]],2000,3000,3500,4500,5000)*Tbl_2020[[#This Row],[No of Visits]]</f>
        <v>24000</v>
      </c>
    </row>
    <row r="18" spans="2:8" x14ac:dyDescent="0.3">
      <c r="B18" t="s">
        <v>24</v>
      </c>
      <c r="C18" t="s">
        <v>702</v>
      </c>
      <c r="D18" t="s">
        <v>4</v>
      </c>
      <c r="E18">
        <v>1</v>
      </c>
      <c r="F18" t="str">
        <f>+CHOOSE(Tbl_2020[[#This Row],[Type of Service]],"PEST","Disinfe","Rodent","Bird","Termite")</f>
        <v>PEST</v>
      </c>
      <c r="G18">
        <v>27</v>
      </c>
      <c r="H18" s="4">
        <f>+CHOOSE(Tbl_2020[[#This Row],[Type of Service]],2000,3000,3500,4500,5000)*Tbl_2020[[#This Row],[No of Visits]]</f>
        <v>54000</v>
      </c>
    </row>
    <row r="19" spans="2:8" x14ac:dyDescent="0.3">
      <c r="B19" t="s">
        <v>25</v>
      </c>
      <c r="C19" t="s">
        <v>703</v>
      </c>
      <c r="D19" t="s">
        <v>6</v>
      </c>
      <c r="E19">
        <v>4</v>
      </c>
      <c r="F19" t="str">
        <f>+CHOOSE(Tbl_2020[[#This Row],[Type of Service]],"PEST","Disinfe","Rodent","Bird","Termite")</f>
        <v>Bird</v>
      </c>
      <c r="G19">
        <v>26</v>
      </c>
      <c r="H19" s="4">
        <f>+CHOOSE(Tbl_2020[[#This Row],[Type of Service]],2000,3000,3500,4500,5000)*Tbl_2020[[#This Row],[No of Visits]]</f>
        <v>117000</v>
      </c>
    </row>
    <row r="20" spans="2:8" x14ac:dyDescent="0.3">
      <c r="B20" t="s">
        <v>26</v>
      </c>
      <c r="C20" t="s">
        <v>704</v>
      </c>
      <c r="D20" t="s">
        <v>8</v>
      </c>
      <c r="E20">
        <v>2</v>
      </c>
      <c r="F20" t="str">
        <f>+CHOOSE(Tbl_2020[[#This Row],[Type of Service]],"PEST","Disinfe","Rodent","Bird","Termite")</f>
        <v>Disinfe</v>
      </c>
      <c r="G20">
        <v>21</v>
      </c>
      <c r="H20" s="4">
        <f>+CHOOSE(Tbl_2020[[#This Row],[Type of Service]],2000,3000,3500,4500,5000)*Tbl_2020[[#This Row],[No of Visits]]</f>
        <v>63000</v>
      </c>
    </row>
    <row r="21" spans="2:8" x14ac:dyDescent="0.3">
      <c r="B21" t="s">
        <v>27</v>
      </c>
      <c r="C21" t="s">
        <v>705</v>
      </c>
      <c r="D21" t="s">
        <v>10</v>
      </c>
      <c r="E21">
        <v>2</v>
      </c>
      <c r="F21" t="str">
        <f>+CHOOSE(Tbl_2020[[#This Row],[Type of Service]],"PEST","Disinfe","Rodent","Bird","Termite")</f>
        <v>Disinfe</v>
      </c>
      <c r="G21">
        <v>6</v>
      </c>
      <c r="H21" s="4">
        <f>+CHOOSE(Tbl_2020[[#This Row],[Type of Service]],2000,3000,3500,4500,5000)*Tbl_2020[[#This Row],[No of Visits]]</f>
        <v>18000</v>
      </c>
    </row>
    <row r="22" spans="2:8" x14ac:dyDescent="0.3">
      <c r="B22" t="s">
        <v>28</v>
      </c>
      <c r="C22" t="s">
        <v>706</v>
      </c>
      <c r="D22" t="s">
        <v>12</v>
      </c>
      <c r="E22">
        <v>1</v>
      </c>
      <c r="F22" t="str">
        <f>+CHOOSE(Tbl_2020[[#This Row],[Type of Service]],"PEST","Disinfe","Rodent","Bird","Termite")</f>
        <v>PEST</v>
      </c>
      <c r="G22">
        <v>24</v>
      </c>
      <c r="H22" s="4">
        <f>+CHOOSE(Tbl_2020[[#This Row],[Type of Service]],2000,3000,3500,4500,5000)*Tbl_2020[[#This Row],[No of Visits]]</f>
        <v>48000</v>
      </c>
    </row>
    <row r="23" spans="2:8" x14ac:dyDescent="0.3">
      <c r="B23" t="s">
        <v>29</v>
      </c>
      <c r="C23" t="s">
        <v>707</v>
      </c>
      <c r="D23" t="s">
        <v>14</v>
      </c>
      <c r="E23">
        <v>1</v>
      </c>
      <c r="F23" t="str">
        <f>+CHOOSE(Tbl_2020[[#This Row],[Type of Service]],"PEST","Disinfe","Rodent","Bird","Termite")</f>
        <v>PEST</v>
      </c>
      <c r="G23">
        <v>19</v>
      </c>
      <c r="H23" s="4">
        <f>+CHOOSE(Tbl_2020[[#This Row],[Type of Service]],2000,3000,3500,4500,5000)*Tbl_2020[[#This Row],[No of Visits]]</f>
        <v>38000</v>
      </c>
    </row>
    <row r="24" spans="2:8" x14ac:dyDescent="0.3">
      <c r="B24" t="s">
        <v>30</v>
      </c>
      <c r="C24" t="s">
        <v>708</v>
      </c>
      <c r="D24" t="s">
        <v>16</v>
      </c>
      <c r="E24">
        <v>2</v>
      </c>
      <c r="F24" t="str">
        <f>+CHOOSE(Tbl_2020[[#This Row],[Type of Service]],"PEST","Disinfe","Rodent","Bird","Termite")</f>
        <v>Disinfe</v>
      </c>
      <c r="G24">
        <v>25</v>
      </c>
      <c r="H24" s="4">
        <f>+CHOOSE(Tbl_2020[[#This Row],[Type of Service]],2000,3000,3500,4500,5000)*Tbl_2020[[#This Row],[No of Visits]]</f>
        <v>75000</v>
      </c>
    </row>
    <row r="25" spans="2:8" x14ac:dyDescent="0.3">
      <c r="B25" t="s">
        <v>31</v>
      </c>
      <c r="C25" t="s">
        <v>709</v>
      </c>
      <c r="D25" t="s">
        <v>4</v>
      </c>
      <c r="E25">
        <v>1</v>
      </c>
      <c r="F25" t="str">
        <f>+CHOOSE(Tbl_2020[[#This Row],[Type of Service]],"PEST","Disinfe","Rodent","Bird","Termite")</f>
        <v>PEST</v>
      </c>
      <c r="G25">
        <v>22</v>
      </c>
      <c r="H25" s="4">
        <f>+CHOOSE(Tbl_2020[[#This Row],[Type of Service]],2000,3000,3500,4500,5000)*Tbl_2020[[#This Row],[No of Visits]]</f>
        <v>44000</v>
      </c>
    </row>
    <row r="26" spans="2:8" x14ac:dyDescent="0.3">
      <c r="B26" t="s">
        <v>32</v>
      </c>
      <c r="C26" t="s">
        <v>710</v>
      </c>
      <c r="D26" t="s">
        <v>6</v>
      </c>
      <c r="E26">
        <v>1</v>
      </c>
      <c r="F26" t="str">
        <f>+CHOOSE(Tbl_2020[[#This Row],[Type of Service]],"PEST","Disinfe","Rodent","Bird","Termite")</f>
        <v>PEST</v>
      </c>
      <c r="G26">
        <v>14</v>
      </c>
      <c r="H26" s="4">
        <f>+CHOOSE(Tbl_2020[[#This Row],[Type of Service]],2000,3000,3500,4500,5000)*Tbl_2020[[#This Row],[No of Visits]]</f>
        <v>28000</v>
      </c>
    </row>
    <row r="27" spans="2:8" x14ac:dyDescent="0.3">
      <c r="B27" t="s">
        <v>33</v>
      </c>
      <c r="C27" t="s">
        <v>711</v>
      </c>
      <c r="D27" t="s">
        <v>8</v>
      </c>
      <c r="E27">
        <v>1</v>
      </c>
      <c r="F27" t="str">
        <f>+CHOOSE(Tbl_2020[[#This Row],[Type of Service]],"PEST","Disinfe","Rodent","Bird","Termite")</f>
        <v>PEST</v>
      </c>
      <c r="G27">
        <v>24</v>
      </c>
      <c r="H27" s="4">
        <f>+CHOOSE(Tbl_2020[[#This Row],[Type of Service]],2000,3000,3500,4500,5000)*Tbl_2020[[#This Row],[No of Visits]]</f>
        <v>48000</v>
      </c>
    </row>
    <row r="28" spans="2:8" x14ac:dyDescent="0.3">
      <c r="B28" t="s">
        <v>34</v>
      </c>
      <c r="C28" t="s">
        <v>712</v>
      </c>
      <c r="D28" t="s">
        <v>10</v>
      </c>
      <c r="E28">
        <v>3</v>
      </c>
      <c r="F28" t="str">
        <f>+CHOOSE(Tbl_2020[[#This Row],[Type of Service]],"PEST","Disinfe","Rodent","Bird","Termite")</f>
        <v>Rodent</v>
      </c>
      <c r="G28">
        <v>21</v>
      </c>
      <c r="H28" s="4">
        <f>+CHOOSE(Tbl_2020[[#This Row],[Type of Service]],2000,3000,3500,4500,5000)*Tbl_2020[[#This Row],[No of Visits]]</f>
        <v>73500</v>
      </c>
    </row>
    <row r="29" spans="2:8" x14ac:dyDescent="0.3">
      <c r="B29" t="s">
        <v>35</v>
      </c>
      <c r="C29" t="s">
        <v>713</v>
      </c>
      <c r="D29" t="s">
        <v>12</v>
      </c>
      <c r="E29">
        <v>1</v>
      </c>
      <c r="F29" t="str">
        <f>+CHOOSE(Tbl_2020[[#This Row],[Type of Service]],"PEST","Disinfe","Rodent","Bird","Termite")</f>
        <v>PEST</v>
      </c>
      <c r="G29">
        <v>14</v>
      </c>
      <c r="H29" s="4">
        <f>+CHOOSE(Tbl_2020[[#This Row],[Type of Service]],2000,3000,3500,4500,5000)*Tbl_2020[[#This Row],[No of Visits]]</f>
        <v>28000</v>
      </c>
    </row>
    <row r="30" spans="2:8" x14ac:dyDescent="0.3">
      <c r="B30" t="s">
        <v>36</v>
      </c>
      <c r="C30" t="s">
        <v>714</v>
      </c>
      <c r="D30" t="s">
        <v>14</v>
      </c>
      <c r="E30">
        <v>1</v>
      </c>
      <c r="F30" t="str">
        <f>+CHOOSE(Tbl_2020[[#This Row],[Type of Service]],"PEST","Disinfe","Rodent","Bird","Termite")</f>
        <v>PEST</v>
      </c>
      <c r="G30">
        <v>24</v>
      </c>
      <c r="H30" s="4">
        <f>+CHOOSE(Tbl_2020[[#This Row],[Type of Service]],2000,3000,3500,4500,5000)*Tbl_2020[[#This Row],[No of Visits]]</f>
        <v>48000</v>
      </c>
    </row>
    <row r="31" spans="2:8" x14ac:dyDescent="0.3">
      <c r="B31" t="s">
        <v>37</v>
      </c>
      <c r="C31" t="s">
        <v>715</v>
      </c>
      <c r="D31" t="s">
        <v>16</v>
      </c>
      <c r="E31">
        <v>1</v>
      </c>
      <c r="F31" t="str">
        <f>+CHOOSE(Tbl_2020[[#This Row],[Type of Service]],"PEST","Disinfe","Rodent","Bird","Termite")</f>
        <v>PEST</v>
      </c>
      <c r="G31">
        <v>22</v>
      </c>
      <c r="H31" s="4">
        <f>+CHOOSE(Tbl_2020[[#This Row],[Type of Service]],2000,3000,3500,4500,5000)*Tbl_2020[[#This Row],[No of Visits]]</f>
        <v>44000</v>
      </c>
    </row>
    <row r="32" spans="2:8" x14ac:dyDescent="0.3">
      <c r="B32" t="s">
        <v>38</v>
      </c>
      <c r="C32" t="s">
        <v>716</v>
      </c>
      <c r="D32" t="s">
        <v>4</v>
      </c>
      <c r="E32">
        <v>3</v>
      </c>
      <c r="F32" t="str">
        <f>+CHOOSE(Tbl_2020[[#This Row],[Type of Service]],"PEST","Disinfe","Rodent","Bird","Termite")</f>
        <v>Rodent</v>
      </c>
      <c r="G32">
        <v>19</v>
      </c>
      <c r="H32" s="4">
        <f>+CHOOSE(Tbl_2020[[#This Row],[Type of Service]],2000,3000,3500,4500,5000)*Tbl_2020[[#This Row],[No of Visits]]</f>
        <v>66500</v>
      </c>
    </row>
    <row r="33" spans="2:8" x14ac:dyDescent="0.3">
      <c r="B33" t="s">
        <v>39</v>
      </c>
      <c r="C33" t="s">
        <v>717</v>
      </c>
      <c r="D33" t="s">
        <v>6</v>
      </c>
      <c r="E33">
        <v>3</v>
      </c>
      <c r="F33" t="str">
        <f>+CHOOSE(Tbl_2020[[#This Row],[Type of Service]],"PEST","Disinfe","Rodent","Bird","Termite")</f>
        <v>Rodent</v>
      </c>
      <c r="G33">
        <v>18</v>
      </c>
      <c r="H33" s="4">
        <f>+CHOOSE(Tbl_2020[[#This Row],[Type of Service]],2000,3000,3500,4500,5000)*Tbl_2020[[#This Row],[No of Visits]]</f>
        <v>63000</v>
      </c>
    </row>
    <row r="34" spans="2:8" x14ac:dyDescent="0.3">
      <c r="B34" t="s">
        <v>40</v>
      </c>
      <c r="C34" t="s">
        <v>718</v>
      </c>
      <c r="D34" t="s">
        <v>8</v>
      </c>
      <c r="E34">
        <v>1</v>
      </c>
      <c r="F34" t="str">
        <f>+CHOOSE(Tbl_2020[[#This Row],[Type of Service]],"PEST","Disinfe","Rodent","Bird","Termite")</f>
        <v>PEST</v>
      </c>
      <c r="G34">
        <v>21</v>
      </c>
      <c r="H34" s="4">
        <f>+CHOOSE(Tbl_2020[[#This Row],[Type of Service]],2000,3000,3500,4500,5000)*Tbl_2020[[#This Row],[No of Visits]]</f>
        <v>42000</v>
      </c>
    </row>
    <row r="35" spans="2:8" x14ac:dyDescent="0.3">
      <c r="B35" t="s">
        <v>41</v>
      </c>
      <c r="C35" t="s">
        <v>719</v>
      </c>
      <c r="D35" t="s">
        <v>10</v>
      </c>
      <c r="E35">
        <v>2</v>
      </c>
      <c r="F35" t="str">
        <f>+CHOOSE(Tbl_2020[[#This Row],[Type of Service]],"PEST","Disinfe","Rodent","Bird","Termite")</f>
        <v>Disinfe</v>
      </c>
      <c r="G35">
        <v>11</v>
      </c>
      <c r="H35" s="4">
        <f>+CHOOSE(Tbl_2020[[#This Row],[Type of Service]],2000,3000,3500,4500,5000)*Tbl_2020[[#This Row],[No of Visits]]</f>
        <v>33000</v>
      </c>
    </row>
    <row r="36" spans="2:8" x14ac:dyDescent="0.3">
      <c r="B36" t="s">
        <v>42</v>
      </c>
      <c r="C36" t="s">
        <v>720</v>
      </c>
      <c r="D36" t="s">
        <v>12</v>
      </c>
      <c r="E36">
        <v>1</v>
      </c>
      <c r="F36" t="str">
        <f>+CHOOSE(Tbl_2020[[#This Row],[Type of Service]],"PEST","Disinfe","Rodent","Bird","Termite")</f>
        <v>PEST</v>
      </c>
      <c r="G36">
        <v>22</v>
      </c>
      <c r="H36" s="4">
        <f>+CHOOSE(Tbl_2020[[#This Row],[Type of Service]],2000,3000,3500,4500,5000)*Tbl_2020[[#This Row],[No of Visits]]</f>
        <v>44000</v>
      </c>
    </row>
    <row r="37" spans="2:8" x14ac:dyDescent="0.3">
      <c r="B37" t="s">
        <v>43</v>
      </c>
      <c r="C37" t="s">
        <v>721</v>
      </c>
      <c r="D37" t="s">
        <v>14</v>
      </c>
      <c r="E37">
        <v>4</v>
      </c>
      <c r="F37" t="str">
        <f>+CHOOSE(Tbl_2020[[#This Row],[Type of Service]],"PEST","Disinfe","Rodent","Bird","Termite")</f>
        <v>Bird</v>
      </c>
      <c r="G37">
        <v>7</v>
      </c>
      <c r="H37" s="4">
        <f>+CHOOSE(Tbl_2020[[#This Row],[Type of Service]],2000,3000,3500,4500,5000)*Tbl_2020[[#This Row],[No of Visits]]</f>
        <v>31500</v>
      </c>
    </row>
    <row r="38" spans="2:8" x14ac:dyDescent="0.3">
      <c r="B38" t="s">
        <v>44</v>
      </c>
      <c r="C38" t="s">
        <v>722</v>
      </c>
      <c r="D38" t="s">
        <v>16</v>
      </c>
      <c r="E38">
        <v>4</v>
      </c>
      <c r="F38" t="str">
        <f>+CHOOSE(Tbl_2020[[#This Row],[Type of Service]],"PEST","Disinfe","Rodent","Bird","Termite")</f>
        <v>Bird</v>
      </c>
      <c r="G38">
        <v>24</v>
      </c>
      <c r="H38" s="4">
        <f>+CHOOSE(Tbl_2020[[#This Row],[Type of Service]],2000,3000,3500,4500,5000)*Tbl_2020[[#This Row],[No of Visits]]</f>
        <v>108000</v>
      </c>
    </row>
    <row r="39" spans="2:8" x14ac:dyDescent="0.3">
      <c r="B39" t="s">
        <v>45</v>
      </c>
      <c r="C39" t="s">
        <v>723</v>
      </c>
      <c r="D39" t="s">
        <v>4</v>
      </c>
      <c r="E39">
        <v>4</v>
      </c>
      <c r="F39" t="str">
        <f>+CHOOSE(Tbl_2020[[#This Row],[Type of Service]],"PEST","Disinfe","Rodent","Bird","Termite")</f>
        <v>Bird</v>
      </c>
      <c r="G39">
        <v>25</v>
      </c>
      <c r="H39" s="4">
        <f>+CHOOSE(Tbl_2020[[#This Row],[Type of Service]],2000,3000,3500,4500,5000)*Tbl_2020[[#This Row],[No of Visits]]</f>
        <v>112500</v>
      </c>
    </row>
    <row r="40" spans="2:8" x14ac:dyDescent="0.3">
      <c r="B40" t="s">
        <v>46</v>
      </c>
      <c r="C40" t="s">
        <v>724</v>
      </c>
      <c r="D40" t="s">
        <v>6</v>
      </c>
      <c r="E40">
        <v>4</v>
      </c>
      <c r="F40" t="str">
        <f>+CHOOSE(Tbl_2020[[#This Row],[Type of Service]],"PEST","Disinfe","Rodent","Bird","Termite")</f>
        <v>Bird</v>
      </c>
      <c r="G40">
        <v>4</v>
      </c>
      <c r="H40" s="4">
        <f>+CHOOSE(Tbl_2020[[#This Row],[Type of Service]],2000,3000,3500,4500,5000)*Tbl_2020[[#This Row],[No of Visits]]</f>
        <v>18000</v>
      </c>
    </row>
    <row r="41" spans="2:8" x14ac:dyDescent="0.3">
      <c r="B41" t="s">
        <v>47</v>
      </c>
      <c r="C41" t="s">
        <v>725</v>
      </c>
      <c r="D41" t="s">
        <v>8</v>
      </c>
      <c r="E41">
        <v>1</v>
      </c>
      <c r="F41" t="str">
        <f>+CHOOSE(Tbl_2020[[#This Row],[Type of Service]],"PEST","Disinfe","Rodent","Bird","Termite")</f>
        <v>PEST</v>
      </c>
      <c r="G41">
        <v>25</v>
      </c>
      <c r="H41" s="4">
        <f>+CHOOSE(Tbl_2020[[#This Row],[Type of Service]],2000,3000,3500,4500,5000)*Tbl_2020[[#This Row],[No of Visits]]</f>
        <v>50000</v>
      </c>
    </row>
    <row r="42" spans="2:8" x14ac:dyDescent="0.3">
      <c r="B42" t="s">
        <v>48</v>
      </c>
      <c r="C42" t="s">
        <v>726</v>
      </c>
      <c r="D42" t="s">
        <v>10</v>
      </c>
      <c r="E42">
        <v>4</v>
      </c>
      <c r="F42" t="str">
        <f>+CHOOSE(Tbl_2020[[#This Row],[Type of Service]],"PEST","Disinfe","Rodent","Bird","Termite")</f>
        <v>Bird</v>
      </c>
      <c r="G42">
        <v>26</v>
      </c>
      <c r="H42" s="4">
        <f>+CHOOSE(Tbl_2020[[#This Row],[Type of Service]],2000,3000,3500,4500,5000)*Tbl_2020[[#This Row],[No of Visits]]</f>
        <v>117000</v>
      </c>
    </row>
    <row r="43" spans="2:8" x14ac:dyDescent="0.3">
      <c r="B43" t="s">
        <v>49</v>
      </c>
      <c r="C43" t="s">
        <v>727</v>
      </c>
      <c r="D43" t="s">
        <v>12</v>
      </c>
      <c r="E43">
        <v>3</v>
      </c>
      <c r="F43" t="str">
        <f>+CHOOSE(Tbl_2020[[#This Row],[Type of Service]],"PEST","Disinfe","Rodent","Bird","Termite")</f>
        <v>Rodent</v>
      </c>
      <c r="G43">
        <v>22</v>
      </c>
      <c r="H43" s="4">
        <f>+CHOOSE(Tbl_2020[[#This Row],[Type of Service]],2000,3000,3500,4500,5000)*Tbl_2020[[#This Row],[No of Visits]]</f>
        <v>77000</v>
      </c>
    </row>
    <row r="44" spans="2:8" x14ac:dyDescent="0.3">
      <c r="B44" t="s">
        <v>50</v>
      </c>
      <c r="C44" t="s">
        <v>728</v>
      </c>
      <c r="D44" t="s">
        <v>14</v>
      </c>
      <c r="E44">
        <v>4</v>
      </c>
      <c r="F44" t="str">
        <f>+CHOOSE(Tbl_2020[[#This Row],[Type of Service]],"PEST","Disinfe","Rodent","Bird","Termite")</f>
        <v>Bird</v>
      </c>
      <c r="G44">
        <v>10</v>
      </c>
      <c r="H44" s="4">
        <f>+CHOOSE(Tbl_2020[[#This Row],[Type of Service]],2000,3000,3500,4500,5000)*Tbl_2020[[#This Row],[No of Visits]]</f>
        <v>45000</v>
      </c>
    </row>
    <row r="45" spans="2:8" x14ac:dyDescent="0.3">
      <c r="B45" t="s">
        <v>51</v>
      </c>
      <c r="C45" t="s">
        <v>729</v>
      </c>
      <c r="D45" t="s">
        <v>16</v>
      </c>
      <c r="E45">
        <v>2</v>
      </c>
      <c r="F45" t="str">
        <f>+CHOOSE(Tbl_2020[[#This Row],[Type of Service]],"PEST","Disinfe","Rodent","Bird","Termite")</f>
        <v>Disinfe</v>
      </c>
      <c r="G45">
        <v>2</v>
      </c>
      <c r="H45" s="4">
        <f>+CHOOSE(Tbl_2020[[#This Row],[Type of Service]],2000,3000,3500,4500,5000)*Tbl_2020[[#This Row],[No of Visits]]</f>
        <v>6000</v>
      </c>
    </row>
    <row r="46" spans="2:8" x14ac:dyDescent="0.3">
      <c r="B46" t="s">
        <v>52</v>
      </c>
      <c r="C46" t="s">
        <v>730</v>
      </c>
      <c r="D46" t="s">
        <v>4</v>
      </c>
      <c r="E46">
        <v>2</v>
      </c>
      <c r="F46" t="str">
        <f>+CHOOSE(Tbl_2020[[#This Row],[Type of Service]],"PEST","Disinfe","Rodent","Bird","Termite")</f>
        <v>Disinfe</v>
      </c>
      <c r="G46">
        <v>26</v>
      </c>
      <c r="H46" s="4">
        <f>+CHOOSE(Tbl_2020[[#This Row],[Type of Service]],2000,3000,3500,4500,5000)*Tbl_2020[[#This Row],[No of Visits]]</f>
        <v>78000</v>
      </c>
    </row>
    <row r="47" spans="2:8" x14ac:dyDescent="0.3">
      <c r="B47" t="s">
        <v>53</v>
      </c>
      <c r="C47" t="s">
        <v>731</v>
      </c>
      <c r="D47" t="s">
        <v>6</v>
      </c>
      <c r="E47">
        <v>4</v>
      </c>
      <c r="F47" t="str">
        <f>+CHOOSE(Tbl_2020[[#This Row],[Type of Service]],"PEST","Disinfe","Rodent","Bird","Termite")</f>
        <v>Bird</v>
      </c>
      <c r="G47">
        <v>2</v>
      </c>
      <c r="H47" s="4">
        <f>+CHOOSE(Tbl_2020[[#This Row],[Type of Service]],2000,3000,3500,4500,5000)*Tbl_2020[[#This Row],[No of Visits]]</f>
        <v>9000</v>
      </c>
    </row>
    <row r="48" spans="2:8" x14ac:dyDescent="0.3">
      <c r="B48" t="s">
        <v>54</v>
      </c>
      <c r="C48" t="s">
        <v>732</v>
      </c>
      <c r="D48" t="s">
        <v>8</v>
      </c>
      <c r="E48">
        <v>2</v>
      </c>
      <c r="F48" t="str">
        <f>+CHOOSE(Tbl_2020[[#This Row],[Type of Service]],"PEST","Disinfe","Rodent","Bird","Termite")</f>
        <v>Disinfe</v>
      </c>
      <c r="G48">
        <v>5</v>
      </c>
      <c r="H48" s="4">
        <f>+CHOOSE(Tbl_2020[[#This Row],[Type of Service]],2000,3000,3500,4500,5000)*Tbl_2020[[#This Row],[No of Visits]]</f>
        <v>15000</v>
      </c>
    </row>
    <row r="49" spans="2:8" x14ac:dyDescent="0.3">
      <c r="B49" t="s">
        <v>55</v>
      </c>
      <c r="C49" t="s">
        <v>727</v>
      </c>
      <c r="D49" t="s">
        <v>10</v>
      </c>
      <c r="E49">
        <v>1</v>
      </c>
      <c r="F49" t="str">
        <f>+CHOOSE(Tbl_2020[[#This Row],[Type of Service]],"PEST","Disinfe","Rodent","Bird","Termite")</f>
        <v>PEST</v>
      </c>
      <c r="G49">
        <v>17</v>
      </c>
      <c r="H49" s="4">
        <f>+CHOOSE(Tbl_2020[[#This Row],[Type of Service]],2000,3000,3500,4500,5000)*Tbl_2020[[#This Row],[No of Visits]]</f>
        <v>34000</v>
      </c>
    </row>
    <row r="50" spans="2:8" x14ac:dyDescent="0.3">
      <c r="B50" t="s">
        <v>56</v>
      </c>
      <c r="C50" t="s">
        <v>733</v>
      </c>
      <c r="D50" t="s">
        <v>12</v>
      </c>
      <c r="E50">
        <v>2</v>
      </c>
      <c r="F50" t="str">
        <f>+CHOOSE(Tbl_2020[[#This Row],[Type of Service]],"PEST","Disinfe","Rodent","Bird","Termite")</f>
        <v>Disinfe</v>
      </c>
      <c r="G50">
        <v>2</v>
      </c>
      <c r="H50" s="4">
        <f>+CHOOSE(Tbl_2020[[#This Row],[Type of Service]],2000,3000,3500,4500,5000)*Tbl_2020[[#This Row],[No of Visits]]</f>
        <v>6000</v>
      </c>
    </row>
    <row r="51" spans="2:8" x14ac:dyDescent="0.3">
      <c r="B51" t="s">
        <v>57</v>
      </c>
      <c r="C51" t="s">
        <v>734</v>
      </c>
      <c r="D51" t="s">
        <v>14</v>
      </c>
      <c r="E51">
        <v>1</v>
      </c>
      <c r="F51" t="str">
        <f>+CHOOSE(Tbl_2020[[#This Row],[Type of Service]],"PEST","Disinfe","Rodent","Bird","Termite")</f>
        <v>PEST</v>
      </c>
      <c r="G51">
        <v>16</v>
      </c>
      <c r="H51" s="4">
        <f>+CHOOSE(Tbl_2020[[#This Row],[Type of Service]],2000,3000,3500,4500,5000)*Tbl_2020[[#This Row],[No of Visits]]</f>
        <v>32000</v>
      </c>
    </row>
    <row r="52" spans="2:8" x14ac:dyDescent="0.3">
      <c r="B52" t="s">
        <v>58</v>
      </c>
      <c r="C52" t="s">
        <v>726</v>
      </c>
      <c r="D52" t="s">
        <v>16</v>
      </c>
      <c r="E52">
        <v>2</v>
      </c>
      <c r="F52" t="str">
        <f>+CHOOSE(Tbl_2020[[#This Row],[Type of Service]],"PEST","Disinfe","Rodent","Bird","Termite")</f>
        <v>Disinfe</v>
      </c>
      <c r="G52">
        <v>27</v>
      </c>
      <c r="H52" s="4">
        <f>+CHOOSE(Tbl_2020[[#This Row],[Type of Service]],2000,3000,3500,4500,5000)*Tbl_2020[[#This Row],[No of Visits]]</f>
        <v>81000</v>
      </c>
    </row>
    <row r="53" spans="2:8" x14ac:dyDescent="0.3">
      <c r="B53" t="s">
        <v>59</v>
      </c>
      <c r="C53" t="s">
        <v>735</v>
      </c>
      <c r="D53" t="s">
        <v>4</v>
      </c>
      <c r="E53">
        <v>2</v>
      </c>
      <c r="F53" t="str">
        <f>+CHOOSE(Tbl_2020[[#This Row],[Type of Service]],"PEST","Disinfe","Rodent","Bird","Termite")</f>
        <v>Disinfe</v>
      </c>
      <c r="G53">
        <v>26</v>
      </c>
      <c r="H53" s="4">
        <f>+CHOOSE(Tbl_2020[[#This Row],[Type of Service]],2000,3000,3500,4500,5000)*Tbl_2020[[#This Row],[No of Visits]]</f>
        <v>78000</v>
      </c>
    </row>
    <row r="54" spans="2:8" x14ac:dyDescent="0.3">
      <c r="B54" t="s">
        <v>60</v>
      </c>
      <c r="C54" t="s">
        <v>736</v>
      </c>
      <c r="D54" t="s">
        <v>6</v>
      </c>
      <c r="E54">
        <v>3</v>
      </c>
      <c r="F54" t="str">
        <f>+CHOOSE(Tbl_2020[[#This Row],[Type of Service]],"PEST","Disinfe","Rodent","Bird","Termite")</f>
        <v>Rodent</v>
      </c>
      <c r="G54">
        <v>28</v>
      </c>
      <c r="H54" s="4">
        <f>+CHOOSE(Tbl_2020[[#This Row],[Type of Service]],2000,3000,3500,4500,5000)*Tbl_2020[[#This Row],[No of Visits]]</f>
        <v>98000</v>
      </c>
    </row>
    <row r="55" spans="2:8" x14ac:dyDescent="0.3">
      <c r="B55" t="s">
        <v>61</v>
      </c>
      <c r="C55" t="s">
        <v>737</v>
      </c>
      <c r="D55" t="s">
        <v>8</v>
      </c>
      <c r="E55">
        <v>1</v>
      </c>
      <c r="F55" t="str">
        <f>+CHOOSE(Tbl_2020[[#This Row],[Type of Service]],"PEST","Disinfe","Rodent","Bird","Termite")</f>
        <v>PEST</v>
      </c>
      <c r="G55">
        <v>14</v>
      </c>
      <c r="H55" s="4">
        <f>+CHOOSE(Tbl_2020[[#This Row],[Type of Service]],2000,3000,3500,4500,5000)*Tbl_2020[[#This Row],[No of Visits]]</f>
        <v>28000</v>
      </c>
    </row>
    <row r="56" spans="2:8" x14ac:dyDescent="0.3">
      <c r="B56" t="s">
        <v>62</v>
      </c>
      <c r="C56" t="s">
        <v>738</v>
      </c>
      <c r="D56" t="s">
        <v>10</v>
      </c>
      <c r="E56">
        <v>3</v>
      </c>
      <c r="F56" t="str">
        <f>+CHOOSE(Tbl_2020[[#This Row],[Type of Service]],"PEST","Disinfe","Rodent","Bird","Termite")</f>
        <v>Rodent</v>
      </c>
      <c r="G56">
        <v>26</v>
      </c>
      <c r="H56" s="4">
        <f>+CHOOSE(Tbl_2020[[#This Row],[Type of Service]],2000,3000,3500,4500,5000)*Tbl_2020[[#This Row],[No of Visits]]</f>
        <v>91000</v>
      </c>
    </row>
    <row r="57" spans="2:8" x14ac:dyDescent="0.3">
      <c r="B57" t="s">
        <v>63</v>
      </c>
      <c r="C57" t="s">
        <v>708</v>
      </c>
      <c r="D57" t="s">
        <v>12</v>
      </c>
      <c r="E57">
        <v>3</v>
      </c>
      <c r="F57" t="str">
        <f>+CHOOSE(Tbl_2020[[#This Row],[Type of Service]],"PEST","Disinfe","Rodent","Bird","Termite")</f>
        <v>Rodent</v>
      </c>
      <c r="G57">
        <v>19</v>
      </c>
      <c r="H57" s="4">
        <f>+CHOOSE(Tbl_2020[[#This Row],[Type of Service]],2000,3000,3500,4500,5000)*Tbl_2020[[#This Row],[No of Visits]]</f>
        <v>66500</v>
      </c>
    </row>
    <row r="58" spans="2:8" x14ac:dyDescent="0.3">
      <c r="B58" t="s">
        <v>64</v>
      </c>
      <c r="C58" t="s">
        <v>739</v>
      </c>
      <c r="D58" t="s">
        <v>14</v>
      </c>
      <c r="E58">
        <v>3</v>
      </c>
      <c r="F58" t="str">
        <f>+CHOOSE(Tbl_2020[[#This Row],[Type of Service]],"PEST","Disinfe","Rodent","Bird","Termite")</f>
        <v>Rodent</v>
      </c>
      <c r="G58">
        <v>1</v>
      </c>
      <c r="H58" s="4">
        <f>+CHOOSE(Tbl_2020[[#This Row],[Type of Service]],2000,3000,3500,4500,5000)*Tbl_2020[[#This Row],[No of Visits]]</f>
        <v>3500</v>
      </c>
    </row>
    <row r="59" spans="2:8" x14ac:dyDescent="0.3">
      <c r="B59" t="s">
        <v>65</v>
      </c>
      <c r="C59" t="s">
        <v>740</v>
      </c>
      <c r="D59" t="s">
        <v>16</v>
      </c>
      <c r="E59">
        <v>4</v>
      </c>
      <c r="F59" t="str">
        <f>+CHOOSE(Tbl_2020[[#This Row],[Type of Service]],"PEST","Disinfe","Rodent","Bird","Termite")</f>
        <v>Bird</v>
      </c>
      <c r="G59">
        <v>22</v>
      </c>
      <c r="H59" s="4">
        <f>+CHOOSE(Tbl_2020[[#This Row],[Type of Service]],2000,3000,3500,4500,5000)*Tbl_2020[[#This Row],[No of Visits]]</f>
        <v>99000</v>
      </c>
    </row>
    <row r="60" spans="2:8" x14ac:dyDescent="0.3">
      <c r="B60" t="s">
        <v>66</v>
      </c>
      <c r="C60" t="s">
        <v>741</v>
      </c>
      <c r="D60" t="s">
        <v>4</v>
      </c>
      <c r="E60">
        <v>3</v>
      </c>
      <c r="F60" t="str">
        <f>+CHOOSE(Tbl_2020[[#This Row],[Type of Service]],"PEST","Disinfe","Rodent","Bird","Termite")</f>
        <v>Rodent</v>
      </c>
      <c r="G60">
        <v>29</v>
      </c>
      <c r="H60" s="4">
        <f>+CHOOSE(Tbl_2020[[#This Row],[Type of Service]],2000,3000,3500,4500,5000)*Tbl_2020[[#This Row],[No of Visits]]</f>
        <v>101500</v>
      </c>
    </row>
    <row r="61" spans="2:8" x14ac:dyDescent="0.3">
      <c r="B61" t="s">
        <v>67</v>
      </c>
      <c r="C61" t="s">
        <v>742</v>
      </c>
      <c r="D61" t="s">
        <v>6</v>
      </c>
      <c r="E61">
        <v>4</v>
      </c>
      <c r="F61" t="str">
        <f>+CHOOSE(Tbl_2020[[#This Row],[Type of Service]],"PEST","Disinfe","Rodent","Bird","Termite")</f>
        <v>Bird</v>
      </c>
      <c r="G61">
        <v>25</v>
      </c>
      <c r="H61" s="4">
        <f>+CHOOSE(Tbl_2020[[#This Row],[Type of Service]],2000,3000,3500,4500,5000)*Tbl_2020[[#This Row],[No of Visits]]</f>
        <v>112500</v>
      </c>
    </row>
    <row r="62" spans="2:8" x14ac:dyDescent="0.3">
      <c r="B62" t="s">
        <v>68</v>
      </c>
      <c r="C62" t="s">
        <v>743</v>
      </c>
      <c r="D62" t="s">
        <v>8</v>
      </c>
      <c r="E62">
        <v>2</v>
      </c>
      <c r="F62" t="str">
        <f>+CHOOSE(Tbl_2020[[#This Row],[Type of Service]],"PEST","Disinfe","Rodent","Bird","Termite")</f>
        <v>Disinfe</v>
      </c>
      <c r="G62">
        <v>14</v>
      </c>
      <c r="H62" s="4">
        <f>+CHOOSE(Tbl_2020[[#This Row],[Type of Service]],2000,3000,3500,4500,5000)*Tbl_2020[[#This Row],[No of Visits]]</f>
        <v>42000</v>
      </c>
    </row>
    <row r="63" spans="2:8" x14ac:dyDescent="0.3">
      <c r="B63" t="s">
        <v>69</v>
      </c>
      <c r="C63" t="s">
        <v>744</v>
      </c>
      <c r="D63" t="s">
        <v>10</v>
      </c>
      <c r="E63">
        <v>2</v>
      </c>
      <c r="F63" t="str">
        <f>+CHOOSE(Tbl_2020[[#This Row],[Type of Service]],"PEST","Disinfe","Rodent","Bird","Termite")</f>
        <v>Disinfe</v>
      </c>
      <c r="G63">
        <v>20</v>
      </c>
      <c r="H63" s="4">
        <f>+CHOOSE(Tbl_2020[[#This Row],[Type of Service]],2000,3000,3500,4500,5000)*Tbl_2020[[#This Row],[No of Visits]]</f>
        <v>60000</v>
      </c>
    </row>
    <row r="64" spans="2:8" x14ac:dyDescent="0.3">
      <c r="B64" t="s">
        <v>70</v>
      </c>
      <c r="C64" t="s">
        <v>745</v>
      </c>
      <c r="D64" t="s">
        <v>12</v>
      </c>
      <c r="E64">
        <v>4</v>
      </c>
      <c r="F64" t="str">
        <f>+CHOOSE(Tbl_2020[[#This Row],[Type of Service]],"PEST","Disinfe","Rodent","Bird","Termite")</f>
        <v>Bird</v>
      </c>
      <c r="G64">
        <v>19</v>
      </c>
      <c r="H64" s="4">
        <f>+CHOOSE(Tbl_2020[[#This Row],[Type of Service]],2000,3000,3500,4500,5000)*Tbl_2020[[#This Row],[No of Visits]]</f>
        <v>85500</v>
      </c>
    </row>
    <row r="65" spans="2:8" x14ac:dyDescent="0.3">
      <c r="B65" t="s">
        <v>71</v>
      </c>
      <c r="C65" t="s">
        <v>746</v>
      </c>
      <c r="D65" t="s">
        <v>14</v>
      </c>
      <c r="E65">
        <v>4</v>
      </c>
      <c r="F65" t="str">
        <f>+CHOOSE(Tbl_2020[[#This Row],[Type of Service]],"PEST","Disinfe","Rodent","Bird","Termite")</f>
        <v>Bird</v>
      </c>
      <c r="G65">
        <v>26</v>
      </c>
      <c r="H65" s="4">
        <f>+CHOOSE(Tbl_2020[[#This Row],[Type of Service]],2000,3000,3500,4500,5000)*Tbl_2020[[#This Row],[No of Visits]]</f>
        <v>117000</v>
      </c>
    </row>
    <row r="66" spans="2:8" x14ac:dyDescent="0.3">
      <c r="B66" t="s">
        <v>72</v>
      </c>
      <c r="C66" t="s">
        <v>747</v>
      </c>
      <c r="D66" t="s">
        <v>16</v>
      </c>
      <c r="E66">
        <v>2</v>
      </c>
      <c r="F66" t="str">
        <f>+CHOOSE(Tbl_2020[[#This Row],[Type of Service]],"PEST","Disinfe","Rodent","Bird","Termite")</f>
        <v>Disinfe</v>
      </c>
      <c r="G66">
        <v>5</v>
      </c>
      <c r="H66" s="4">
        <f>+CHOOSE(Tbl_2020[[#This Row],[Type of Service]],2000,3000,3500,4500,5000)*Tbl_2020[[#This Row],[No of Visits]]</f>
        <v>15000</v>
      </c>
    </row>
    <row r="67" spans="2:8" x14ac:dyDescent="0.3">
      <c r="B67" t="s">
        <v>73</v>
      </c>
      <c r="C67" t="s">
        <v>748</v>
      </c>
      <c r="D67" t="s">
        <v>4</v>
      </c>
      <c r="E67">
        <v>4</v>
      </c>
      <c r="F67" t="str">
        <f>+CHOOSE(Tbl_2020[[#This Row],[Type of Service]],"PEST","Disinfe","Rodent","Bird","Termite")</f>
        <v>Bird</v>
      </c>
      <c r="G67">
        <v>22</v>
      </c>
      <c r="H67" s="4">
        <f>+CHOOSE(Tbl_2020[[#This Row],[Type of Service]],2000,3000,3500,4500,5000)*Tbl_2020[[#This Row],[No of Visits]]</f>
        <v>99000</v>
      </c>
    </row>
    <row r="68" spans="2:8" x14ac:dyDescent="0.3">
      <c r="B68" t="s">
        <v>74</v>
      </c>
      <c r="C68" t="s">
        <v>749</v>
      </c>
      <c r="D68" t="s">
        <v>6</v>
      </c>
      <c r="E68">
        <v>4</v>
      </c>
      <c r="F68" t="str">
        <f>+CHOOSE(Tbl_2020[[#This Row],[Type of Service]],"PEST","Disinfe","Rodent","Bird","Termite")</f>
        <v>Bird</v>
      </c>
      <c r="G68">
        <v>11</v>
      </c>
      <c r="H68" s="4">
        <f>+CHOOSE(Tbl_2020[[#This Row],[Type of Service]],2000,3000,3500,4500,5000)*Tbl_2020[[#This Row],[No of Visits]]</f>
        <v>49500</v>
      </c>
    </row>
    <row r="69" spans="2:8" x14ac:dyDescent="0.3">
      <c r="B69" t="s">
        <v>75</v>
      </c>
      <c r="C69" t="s">
        <v>750</v>
      </c>
      <c r="D69" t="s">
        <v>8</v>
      </c>
      <c r="E69">
        <v>3</v>
      </c>
      <c r="F69" t="str">
        <f>+CHOOSE(Tbl_2020[[#This Row],[Type of Service]],"PEST","Disinfe","Rodent","Bird","Termite")</f>
        <v>Rodent</v>
      </c>
      <c r="G69">
        <v>14</v>
      </c>
      <c r="H69" s="4">
        <f>+CHOOSE(Tbl_2020[[#This Row],[Type of Service]],2000,3000,3500,4500,5000)*Tbl_2020[[#This Row],[No of Visits]]</f>
        <v>49000</v>
      </c>
    </row>
    <row r="70" spans="2:8" x14ac:dyDescent="0.3">
      <c r="B70" t="s">
        <v>76</v>
      </c>
      <c r="C70" t="s">
        <v>77</v>
      </c>
      <c r="D70" t="s">
        <v>10</v>
      </c>
      <c r="E70">
        <v>2</v>
      </c>
      <c r="F70" t="str">
        <f>+CHOOSE(Tbl_2020[[#This Row],[Type of Service]],"PEST","Disinfe","Rodent","Bird","Termite")</f>
        <v>Disinfe</v>
      </c>
      <c r="G70">
        <v>29</v>
      </c>
      <c r="H70" s="4">
        <f>+CHOOSE(Tbl_2020[[#This Row],[Type of Service]],2000,3000,3500,4500,5000)*Tbl_2020[[#This Row],[No of Visits]]</f>
        <v>87000</v>
      </c>
    </row>
    <row r="71" spans="2:8" x14ac:dyDescent="0.3">
      <c r="B71" t="s">
        <v>78</v>
      </c>
      <c r="C71" t="s">
        <v>751</v>
      </c>
      <c r="D71" t="s">
        <v>12</v>
      </c>
      <c r="E71">
        <v>4</v>
      </c>
      <c r="F71" t="str">
        <f>+CHOOSE(Tbl_2020[[#This Row],[Type of Service]],"PEST","Disinfe","Rodent","Bird","Termite")</f>
        <v>Bird</v>
      </c>
      <c r="G71">
        <v>25</v>
      </c>
      <c r="H71" s="4">
        <f>+CHOOSE(Tbl_2020[[#This Row],[Type of Service]],2000,3000,3500,4500,5000)*Tbl_2020[[#This Row],[No of Visits]]</f>
        <v>112500</v>
      </c>
    </row>
    <row r="72" spans="2:8" x14ac:dyDescent="0.3">
      <c r="B72" t="s">
        <v>79</v>
      </c>
      <c r="C72" t="s">
        <v>752</v>
      </c>
      <c r="D72" t="s">
        <v>14</v>
      </c>
      <c r="E72">
        <v>4</v>
      </c>
      <c r="F72" t="str">
        <f>+CHOOSE(Tbl_2020[[#This Row],[Type of Service]],"PEST","Disinfe","Rodent","Bird","Termite")</f>
        <v>Bird</v>
      </c>
      <c r="G72">
        <v>19</v>
      </c>
      <c r="H72" s="4">
        <f>+CHOOSE(Tbl_2020[[#This Row],[Type of Service]],2000,3000,3500,4500,5000)*Tbl_2020[[#This Row],[No of Visits]]</f>
        <v>85500</v>
      </c>
    </row>
    <row r="73" spans="2:8" x14ac:dyDescent="0.3">
      <c r="B73" t="s">
        <v>80</v>
      </c>
      <c r="C73" t="s">
        <v>753</v>
      </c>
      <c r="D73" t="s">
        <v>16</v>
      </c>
      <c r="E73">
        <v>2</v>
      </c>
      <c r="F73" t="str">
        <f>+CHOOSE(Tbl_2020[[#This Row],[Type of Service]],"PEST","Disinfe","Rodent","Bird","Termite")</f>
        <v>Disinfe</v>
      </c>
      <c r="G73">
        <v>24</v>
      </c>
      <c r="H73" s="4">
        <f>+CHOOSE(Tbl_2020[[#This Row],[Type of Service]],2000,3000,3500,4500,5000)*Tbl_2020[[#This Row],[No of Visits]]</f>
        <v>72000</v>
      </c>
    </row>
    <row r="74" spans="2:8" x14ac:dyDescent="0.3">
      <c r="B74" t="s">
        <v>81</v>
      </c>
      <c r="C74" t="s">
        <v>754</v>
      </c>
      <c r="D74" t="s">
        <v>4</v>
      </c>
      <c r="E74">
        <v>2</v>
      </c>
      <c r="F74" t="str">
        <f>+CHOOSE(Tbl_2020[[#This Row],[Type of Service]],"PEST","Disinfe","Rodent","Bird","Termite")</f>
        <v>Disinfe</v>
      </c>
      <c r="G74">
        <v>2</v>
      </c>
      <c r="H74" s="4">
        <f>+CHOOSE(Tbl_2020[[#This Row],[Type of Service]],2000,3000,3500,4500,5000)*Tbl_2020[[#This Row],[No of Visits]]</f>
        <v>6000</v>
      </c>
    </row>
    <row r="75" spans="2:8" x14ac:dyDescent="0.3">
      <c r="B75" t="s">
        <v>82</v>
      </c>
      <c r="C75" t="s">
        <v>755</v>
      </c>
      <c r="D75" t="s">
        <v>6</v>
      </c>
      <c r="E75">
        <v>1</v>
      </c>
      <c r="F75" t="str">
        <f>+CHOOSE(Tbl_2020[[#This Row],[Type of Service]],"PEST","Disinfe","Rodent","Bird","Termite")</f>
        <v>PEST</v>
      </c>
      <c r="G75">
        <v>22</v>
      </c>
      <c r="H75" s="4">
        <f>+CHOOSE(Tbl_2020[[#This Row],[Type of Service]],2000,3000,3500,4500,5000)*Tbl_2020[[#This Row],[No of Visits]]</f>
        <v>44000</v>
      </c>
    </row>
    <row r="76" spans="2:8" x14ac:dyDescent="0.3">
      <c r="B76" t="s">
        <v>83</v>
      </c>
      <c r="C76" t="s">
        <v>756</v>
      </c>
      <c r="D76" t="s">
        <v>8</v>
      </c>
      <c r="E76">
        <v>1</v>
      </c>
      <c r="F76" t="str">
        <f>+CHOOSE(Tbl_2020[[#This Row],[Type of Service]],"PEST","Disinfe","Rodent","Bird","Termite")</f>
        <v>PEST</v>
      </c>
      <c r="G76">
        <v>27</v>
      </c>
      <c r="H76" s="4">
        <f>+CHOOSE(Tbl_2020[[#This Row],[Type of Service]],2000,3000,3500,4500,5000)*Tbl_2020[[#This Row],[No of Visits]]</f>
        <v>54000</v>
      </c>
    </row>
    <row r="77" spans="2:8" x14ac:dyDescent="0.3">
      <c r="B77" t="s">
        <v>84</v>
      </c>
      <c r="C77" t="s">
        <v>757</v>
      </c>
      <c r="D77" t="s">
        <v>10</v>
      </c>
      <c r="E77">
        <v>3</v>
      </c>
      <c r="F77" t="str">
        <f>+CHOOSE(Tbl_2020[[#This Row],[Type of Service]],"PEST","Disinfe","Rodent","Bird","Termite")</f>
        <v>Rodent</v>
      </c>
      <c r="G77">
        <v>4</v>
      </c>
      <c r="H77" s="4">
        <f>+CHOOSE(Tbl_2020[[#This Row],[Type of Service]],2000,3000,3500,4500,5000)*Tbl_2020[[#This Row],[No of Visits]]</f>
        <v>14000</v>
      </c>
    </row>
    <row r="78" spans="2:8" x14ac:dyDescent="0.3">
      <c r="B78" t="s">
        <v>85</v>
      </c>
      <c r="C78" t="s">
        <v>758</v>
      </c>
      <c r="D78" t="s">
        <v>12</v>
      </c>
      <c r="E78">
        <v>4</v>
      </c>
      <c r="F78" t="str">
        <f>+CHOOSE(Tbl_2020[[#This Row],[Type of Service]],"PEST","Disinfe","Rodent","Bird","Termite")</f>
        <v>Bird</v>
      </c>
      <c r="G78">
        <v>17</v>
      </c>
      <c r="H78" s="4">
        <f>+CHOOSE(Tbl_2020[[#This Row],[Type of Service]],2000,3000,3500,4500,5000)*Tbl_2020[[#This Row],[No of Visits]]</f>
        <v>76500</v>
      </c>
    </row>
    <row r="79" spans="2:8" x14ac:dyDescent="0.3">
      <c r="B79" t="s">
        <v>86</v>
      </c>
      <c r="C79" t="s">
        <v>759</v>
      </c>
      <c r="D79" t="s">
        <v>14</v>
      </c>
      <c r="E79">
        <v>2</v>
      </c>
      <c r="F79" t="str">
        <f>+CHOOSE(Tbl_2020[[#This Row],[Type of Service]],"PEST","Disinfe","Rodent","Bird","Termite")</f>
        <v>Disinfe</v>
      </c>
      <c r="G79">
        <v>22</v>
      </c>
      <c r="H79" s="4">
        <f>+CHOOSE(Tbl_2020[[#This Row],[Type of Service]],2000,3000,3500,4500,5000)*Tbl_2020[[#This Row],[No of Visits]]</f>
        <v>66000</v>
      </c>
    </row>
    <row r="80" spans="2:8" x14ac:dyDescent="0.3">
      <c r="B80" t="s">
        <v>87</v>
      </c>
      <c r="C80" t="s">
        <v>760</v>
      </c>
      <c r="D80" t="s">
        <v>16</v>
      </c>
      <c r="E80">
        <v>2</v>
      </c>
      <c r="F80" t="str">
        <f>+CHOOSE(Tbl_2020[[#This Row],[Type of Service]],"PEST","Disinfe","Rodent","Bird","Termite")</f>
        <v>Disinfe</v>
      </c>
      <c r="G80">
        <v>4</v>
      </c>
      <c r="H80" s="4">
        <f>+CHOOSE(Tbl_2020[[#This Row],[Type of Service]],2000,3000,3500,4500,5000)*Tbl_2020[[#This Row],[No of Visits]]</f>
        <v>12000</v>
      </c>
    </row>
    <row r="81" spans="2:8" x14ac:dyDescent="0.3">
      <c r="B81" t="s">
        <v>88</v>
      </c>
      <c r="C81" t="s">
        <v>761</v>
      </c>
      <c r="D81" t="s">
        <v>4</v>
      </c>
      <c r="E81">
        <v>3</v>
      </c>
      <c r="F81" t="str">
        <f>+CHOOSE(Tbl_2020[[#This Row],[Type of Service]],"PEST","Disinfe","Rodent","Bird","Termite")</f>
        <v>Rodent</v>
      </c>
      <c r="G81">
        <v>10</v>
      </c>
      <c r="H81" s="4">
        <f>+CHOOSE(Tbl_2020[[#This Row],[Type of Service]],2000,3000,3500,4500,5000)*Tbl_2020[[#This Row],[No of Visits]]</f>
        <v>35000</v>
      </c>
    </row>
    <row r="82" spans="2:8" x14ac:dyDescent="0.3">
      <c r="B82" t="s">
        <v>89</v>
      </c>
      <c r="C82" t="s">
        <v>739</v>
      </c>
      <c r="D82" t="s">
        <v>6</v>
      </c>
      <c r="E82">
        <v>2</v>
      </c>
      <c r="F82" t="str">
        <f>+CHOOSE(Tbl_2020[[#This Row],[Type of Service]],"PEST","Disinfe","Rodent","Bird","Termite")</f>
        <v>Disinfe</v>
      </c>
      <c r="G82">
        <v>14</v>
      </c>
      <c r="H82" s="4">
        <f>+CHOOSE(Tbl_2020[[#This Row],[Type of Service]],2000,3000,3500,4500,5000)*Tbl_2020[[#This Row],[No of Visits]]</f>
        <v>42000</v>
      </c>
    </row>
    <row r="83" spans="2:8" x14ac:dyDescent="0.3">
      <c r="B83" t="s">
        <v>90</v>
      </c>
      <c r="C83" t="s">
        <v>762</v>
      </c>
      <c r="D83" t="s">
        <v>8</v>
      </c>
      <c r="E83">
        <v>4</v>
      </c>
      <c r="F83" t="str">
        <f>+CHOOSE(Tbl_2020[[#This Row],[Type of Service]],"PEST","Disinfe","Rodent","Bird","Termite")</f>
        <v>Bird</v>
      </c>
      <c r="G83">
        <v>26</v>
      </c>
      <c r="H83" s="4">
        <f>+CHOOSE(Tbl_2020[[#This Row],[Type of Service]],2000,3000,3500,4500,5000)*Tbl_2020[[#This Row],[No of Visits]]</f>
        <v>117000</v>
      </c>
    </row>
    <row r="84" spans="2:8" x14ac:dyDescent="0.3">
      <c r="B84" t="s">
        <v>91</v>
      </c>
      <c r="C84" t="s">
        <v>763</v>
      </c>
      <c r="D84" t="s">
        <v>10</v>
      </c>
      <c r="E84">
        <v>3</v>
      </c>
      <c r="F84" t="str">
        <f>+CHOOSE(Tbl_2020[[#This Row],[Type of Service]],"PEST","Disinfe","Rodent","Bird","Termite")</f>
        <v>Rodent</v>
      </c>
      <c r="G84">
        <v>21</v>
      </c>
      <c r="H84" s="4">
        <f>+CHOOSE(Tbl_2020[[#This Row],[Type of Service]],2000,3000,3500,4500,5000)*Tbl_2020[[#This Row],[No of Visits]]</f>
        <v>73500</v>
      </c>
    </row>
    <row r="85" spans="2:8" x14ac:dyDescent="0.3">
      <c r="B85" t="s">
        <v>92</v>
      </c>
      <c r="C85" t="s">
        <v>727</v>
      </c>
      <c r="D85" t="s">
        <v>12</v>
      </c>
      <c r="E85">
        <v>4</v>
      </c>
      <c r="F85" t="str">
        <f>+CHOOSE(Tbl_2020[[#This Row],[Type of Service]],"PEST","Disinfe","Rodent","Bird","Termite")</f>
        <v>Bird</v>
      </c>
      <c r="G85">
        <v>14</v>
      </c>
      <c r="H85" s="4">
        <f>+CHOOSE(Tbl_2020[[#This Row],[Type of Service]],2000,3000,3500,4500,5000)*Tbl_2020[[#This Row],[No of Visits]]</f>
        <v>63000</v>
      </c>
    </row>
    <row r="86" spans="2:8" x14ac:dyDescent="0.3">
      <c r="B86" t="s">
        <v>93</v>
      </c>
      <c r="C86" t="s">
        <v>764</v>
      </c>
      <c r="D86" t="s">
        <v>14</v>
      </c>
      <c r="E86">
        <v>4</v>
      </c>
      <c r="F86" t="str">
        <f>+CHOOSE(Tbl_2020[[#This Row],[Type of Service]],"PEST","Disinfe","Rodent","Bird","Termite")</f>
        <v>Bird</v>
      </c>
      <c r="G86">
        <v>5</v>
      </c>
      <c r="H86" s="4">
        <f>+CHOOSE(Tbl_2020[[#This Row],[Type of Service]],2000,3000,3500,4500,5000)*Tbl_2020[[#This Row],[No of Visits]]</f>
        <v>22500</v>
      </c>
    </row>
    <row r="87" spans="2:8" x14ac:dyDescent="0.3">
      <c r="B87" t="s">
        <v>94</v>
      </c>
      <c r="C87" t="s">
        <v>765</v>
      </c>
      <c r="D87" t="s">
        <v>16</v>
      </c>
      <c r="E87">
        <v>1</v>
      </c>
      <c r="F87" t="str">
        <f>+CHOOSE(Tbl_2020[[#This Row],[Type of Service]],"PEST","Disinfe","Rodent","Bird","Termite")</f>
        <v>PEST</v>
      </c>
      <c r="G87">
        <v>22</v>
      </c>
      <c r="H87" s="4">
        <f>+CHOOSE(Tbl_2020[[#This Row],[Type of Service]],2000,3000,3500,4500,5000)*Tbl_2020[[#This Row],[No of Visits]]</f>
        <v>44000</v>
      </c>
    </row>
    <row r="88" spans="2:8" x14ac:dyDescent="0.3">
      <c r="B88" t="s">
        <v>95</v>
      </c>
      <c r="C88" t="s">
        <v>766</v>
      </c>
      <c r="D88" t="s">
        <v>4</v>
      </c>
      <c r="E88">
        <v>4</v>
      </c>
      <c r="F88" t="str">
        <f>+CHOOSE(Tbl_2020[[#This Row],[Type of Service]],"PEST","Disinfe","Rodent","Bird","Termite")</f>
        <v>Bird</v>
      </c>
      <c r="G88">
        <v>5</v>
      </c>
      <c r="H88" s="4">
        <f>+CHOOSE(Tbl_2020[[#This Row],[Type of Service]],2000,3000,3500,4500,5000)*Tbl_2020[[#This Row],[No of Visits]]</f>
        <v>22500</v>
      </c>
    </row>
    <row r="89" spans="2:8" x14ac:dyDescent="0.3">
      <c r="B89" t="s">
        <v>96</v>
      </c>
      <c r="C89" t="s">
        <v>767</v>
      </c>
      <c r="D89" t="s">
        <v>6</v>
      </c>
      <c r="E89">
        <v>3</v>
      </c>
      <c r="F89" t="str">
        <f>+CHOOSE(Tbl_2020[[#This Row],[Type of Service]],"PEST","Disinfe","Rodent","Bird","Termite")</f>
        <v>Rodent</v>
      </c>
      <c r="G89">
        <v>25</v>
      </c>
      <c r="H89" s="4">
        <f>+CHOOSE(Tbl_2020[[#This Row],[Type of Service]],2000,3000,3500,4500,5000)*Tbl_2020[[#This Row],[No of Visits]]</f>
        <v>87500</v>
      </c>
    </row>
    <row r="90" spans="2:8" x14ac:dyDescent="0.3">
      <c r="B90" t="s">
        <v>97</v>
      </c>
      <c r="C90" t="s">
        <v>768</v>
      </c>
      <c r="D90" t="s">
        <v>8</v>
      </c>
      <c r="E90">
        <v>4</v>
      </c>
      <c r="F90" t="str">
        <f>+CHOOSE(Tbl_2020[[#This Row],[Type of Service]],"PEST","Disinfe","Rodent","Bird","Termite")</f>
        <v>Bird</v>
      </c>
      <c r="G90">
        <v>25</v>
      </c>
      <c r="H90" s="4">
        <f>+CHOOSE(Tbl_2020[[#This Row],[Type of Service]],2000,3000,3500,4500,5000)*Tbl_2020[[#This Row],[No of Visits]]</f>
        <v>112500</v>
      </c>
    </row>
    <row r="91" spans="2:8" x14ac:dyDescent="0.3">
      <c r="B91" t="s">
        <v>98</v>
      </c>
      <c r="C91" t="s">
        <v>769</v>
      </c>
      <c r="D91" t="s">
        <v>10</v>
      </c>
      <c r="E91">
        <v>2</v>
      </c>
      <c r="F91" t="str">
        <f>+CHOOSE(Tbl_2020[[#This Row],[Type of Service]],"PEST","Disinfe","Rodent","Bird","Termite")</f>
        <v>Disinfe</v>
      </c>
      <c r="G91">
        <v>16</v>
      </c>
      <c r="H91" s="4">
        <f>+CHOOSE(Tbl_2020[[#This Row],[Type of Service]],2000,3000,3500,4500,5000)*Tbl_2020[[#This Row],[No of Visits]]</f>
        <v>48000</v>
      </c>
    </row>
    <row r="92" spans="2:8" x14ac:dyDescent="0.3">
      <c r="B92" t="s">
        <v>99</v>
      </c>
      <c r="C92" t="s">
        <v>770</v>
      </c>
      <c r="D92" t="s">
        <v>12</v>
      </c>
      <c r="E92">
        <v>1</v>
      </c>
      <c r="F92" t="str">
        <f>+CHOOSE(Tbl_2020[[#This Row],[Type of Service]],"PEST","Disinfe","Rodent","Bird","Termite")</f>
        <v>PEST</v>
      </c>
      <c r="G92">
        <v>18</v>
      </c>
      <c r="H92" s="4">
        <f>+CHOOSE(Tbl_2020[[#This Row],[Type of Service]],2000,3000,3500,4500,5000)*Tbl_2020[[#This Row],[No of Visits]]</f>
        <v>36000</v>
      </c>
    </row>
    <row r="93" spans="2:8" x14ac:dyDescent="0.3">
      <c r="B93" t="s">
        <v>100</v>
      </c>
      <c r="C93" t="s">
        <v>771</v>
      </c>
      <c r="D93" t="s">
        <v>14</v>
      </c>
      <c r="E93">
        <v>3</v>
      </c>
      <c r="F93" t="str">
        <f>+CHOOSE(Tbl_2020[[#This Row],[Type of Service]],"PEST","Disinfe","Rodent","Bird","Termite")</f>
        <v>Rodent</v>
      </c>
      <c r="G93">
        <v>2</v>
      </c>
      <c r="H93" s="4">
        <f>+CHOOSE(Tbl_2020[[#This Row],[Type of Service]],2000,3000,3500,4500,5000)*Tbl_2020[[#This Row],[No of Visits]]</f>
        <v>7000</v>
      </c>
    </row>
    <row r="94" spans="2:8" x14ac:dyDescent="0.3">
      <c r="B94" t="s">
        <v>101</v>
      </c>
      <c r="C94" t="s">
        <v>772</v>
      </c>
      <c r="D94" t="s">
        <v>16</v>
      </c>
      <c r="E94">
        <v>3</v>
      </c>
      <c r="F94" t="str">
        <f>+CHOOSE(Tbl_2020[[#This Row],[Type of Service]],"PEST","Disinfe","Rodent","Bird","Termite")</f>
        <v>Rodent</v>
      </c>
      <c r="G94">
        <v>8</v>
      </c>
      <c r="H94" s="4">
        <f>+CHOOSE(Tbl_2020[[#This Row],[Type of Service]],2000,3000,3500,4500,5000)*Tbl_2020[[#This Row],[No of Visits]]</f>
        <v>28000</v>
      </c>
    </row>
    <row r="95" spans="2:8" x14ac:dyDescent="0.3">
      <c r="B95" t="s">
        <v>102</v>
      </c>
      <c r="C95" t="s">
        <v>773</v>
      </c>
      <c r="D95" t="s">
        <v>4</v>
      </c>
      <c r="E95">
        <v>2</v>
      </c>
      <c r="F95" t="str">
        <f>+CHOOSE(Tbl_2020[[#This Row],[Type of Service]],"PEST","Disinfe","Rodent","Bird","Termite")</f>
        <v>Disinfe</v>
      </c>
      <c r="G95">
        <v>15</v>
      </c>
      <c r="H95" s="4">
        <f>+CHOOSE(Tbl_2020[[#This Row],[Type of Service]],2000,3000,3500,4500,5000)*Tbl_2020[[#This Row],[No of Visits]]</f>
        <v>45000</v>
      </c>
    </row>
    <row r="96" spans="2:8" x14ac:dyDescent="0.3">
      <c r="B96" t="s">
        <v>103</v>
      </c>
      <c r="C96" t="s">
        <v>774</v>
      </c>
      <c r="D96" t="s">
        <v>6</v>
      </c>
      <c r="E96">
        <v>1</v>
      </c>
      <c r="F96" t="str">
        <f>+CHOOSE(Tbl_2020[[#This Row],[Type of Service]],"PEST","Disinfe","Rodent","Bird","Termite")</f>
        <v>PEST</v>
      </c>
      <c r="G96">
        <v>22</v>
      </c>
      <c r="H96" s="4">
        <f>+CHOOSE(Tbl_2020[[#This Row],[Type of Service]],2000,3000,3500,4500,5000)*Tbl_2020[[#This Row],[No of Visits]]</f>
        <v>44000</v>
      </c>
    </row>
    <row r="97" spans="2:8" x14ac:dyDescent="0.3">
      <c r="B97" t="s">
        <v>104</v>
      </c>
      <c r="C97" t="s">
        <v>775</v>
      </c>
      <c r="D97" t="s">
        <v>8</v>
      </c>
      <c r="E97">
        <v>3</v>
      </c>
      <c r="F97" t="str">
        <f>+CHOOSE(Tbl_2020[[#This Row],[Type of Service]],"PEST","Disinfe","Rodent","Bird","Termite")</f>
        <v>Rodent</v>
      </c>
      <c r="G97">
        <v>5</v>
      </c>
      <c r="H97" s="4">
        <f>+CHOOSE(Tbl_2020[[#This Row],[Type of Service]],2000,3000,3500,4500,5000)*Tbl_2020[[#This Row],[No of Visits]]</f>
        <v>17500</v>
      </c>
    </row>
    <row r="98" spans="2:8" x14ac:dyDescent="0.3">
      <c r="B98" t="s">
        <v>105</v>
      </c>
      <c r="C98" t="s">
        <v>734</v>
      </c>
      <c r="D98" t="s">
        <v>10</v>
      </c>
      <c r="E98">
        <v>4</v>
      </c>
      <c r="F98" t="str">
        <f>+CHOOSE(Tbl_2020[[#This Row],[Type of Service]],"PEST","Disinfe","Rodent","Bird","Termite")</f>
        <v>Bird</v>
      </c>
      <c r="G98">
        <v>25</v>
      </c>
      <c r="H98" s="4">
        <f>+CHOOSE(Tbl_2020[[#This Row],[Type of Service]],2000,3000,3500,4500,5000)*Tbl_2020[[#This Row],[No of Visits]]</f>
        <v>112500</v>
      </c>
    </row>
    <row r="99" spans="2:8" x14ac:dyDescent="0.3">
      <c r="B99" t="s">
        <v>106</v>
      </c>
      <c r="C99" t="s">
        <v>776</v>
      </c>
      <c r="D99" t="s">
        <v>12</v>
      </c>
      <c r="E99">
        <v>3</v>
      </c>
      <c r="F99" t="str">
        <f>+CHOOSE(Tbl_2020[[#This Row],[Type of Service]],"PEST","Disinfe","Rodent","Bird","Termite")</f>
        <v>Rodent</v>
      </c>
      <c r="G99">
        <v>22</v>
      </c>
      <c r="H99" s="4">
        <f>+CHOOSE(Tbl_2020[[#This Row],[Type of Service]],2000,3000,3500,4500,5000)*Tbl_2020[[#This Row],[No of Visits]]</f>
        <v>77000</v>
      </c>
    </row>
    <row r="100" spans="2:8" x14ac:dyDescent="0.3">
      <c r="B100" t="s">
        <v>107</v>
      </c>
      <c r="C100" t="s">
        <v>777</v>
      </c>
      <c r="D100" t="s">
        <v>14</v>
      </c>
      <c r="E100">
        <v>4</v>
      </c>
      <c r="F100" t="str">
        <f>+CHOOSE(Tbl_2020[[#This Row],[Type of Service]],"PEST","Disinfe","Rodent","Bird","Termite")</f>
        <v>Bird</v>
      </c>
      <c r="G100">
        <v>25</v>
      </c>
      <c r="H100" s="4">
        <f>+CHOOSE(Tbl_2020[[#This Row],[Type of Service]],2000,3000,3500,4500,5000)*Tbl_2020[[#This Row],[No of Visits]]</f>
        <v>112500</v>
      </c>
    </row>
    <row r="101" spans="2:8" x14ac:dyDescent="0.3">
      <c r="B101" t="s">
        <v>108</v>
      </c>
      <c r="C101" t="s">
        <v>778</v>
      </c>
      <c r="D101" t="s">
        <v>16</v>
      </c>
      <c r="E101">
        <v>3</v>
      </c>
      <c r="F101" t="str">
        <f>+CHOOSE(Tbl_2020[[#This Row],[Type of Service]],"PEST","Disinfe","Rodent","Bird","Termite")</f>
        <v>Rodent</v>
      </c>
      <c r="G101">
        <v>22</v>
      </c>
      <c r="H101" s="4">
        <f>+CHOOSE(Tbl_2020[[#This Row],[Type of Service]],2000,3000,3500,4500,5000)*Tbl_2020[[#This Row],[No of Visits]]</f>
        <v>77000</v>
      </c>
    </row>
    <row r="102" spans="2:8" x14ac:dyDescent="0.3">
      <c r="B102" t="s">
        <v>109</v>
      </c>
      <c r="C102" t="s">
        <v>779</v>
      </c>
      <c r="D102" t="s">
        <v>4</v>
      </c>
      <c r="E102">
        <v>1</v>
      </c>
      <c r="F102" t="str">
        <f>+CHOOSE(Tbl_2020[[#This Row],[Type of Service]],"PEST","Disinfe","Rodent","Bird","Termite")</f>
        <v>PEST</v>
      </c>
      <c r="G102">
        <v>11</v>
      </c>
      <c r="H102" s="4">
        <f>+CHOOSE(Tbl_2020[[#This Row],[Type of Service]],2000,3000,3500,4500,5000)*Tbl_2020[[#This Row],[No of Visits]]</f>
        <v>22000</v>
      </c>
    </row>
    <row r="103" spans="2:8" x14ac:dyDescent="0.3">
      <c r="B103" t="s">
        <v>110</v>
      </c>
      <c r="C103" t="s">
        <v>780</v>
      </c>
      <c r="D103" t="s">
        <v>6</v>
      </c>
      <c r="E103">
        <v>2</v>
      </c>
      <c r="F103" t="str">
        <f>+CHOOSE(Tbl_2020[[#This Row],[Type of Service]],"PEST","Disinfe","Rodent","Bird","Termite")</f>
        <v>Disinfe</v>
      </c>
      <c r="G103">
        <v>24</v>
      </c>
      <c r="H103" s="4">
        <f>+CHOOSE(Tbl_2020[[#This Row],[Type of Service]],2000,3000,3500,4500,5000)*Tbl_2020[[#This Row],[No of Visits]]</f>
        <v>72000</v>
      </c>
    </row>
    <row r="104" spans="2:8" x14ac:dyDescent="0.3">
      <c r="B104" t="s">
        <v>111</v>
      </c>
      <c r="C104" t="s">
        <v>719</v>
      </c>
      <c r="D104" t="s">
        <v>8</v>
      </c>
      <c r="E104">
        <v>2</v>
      </c>
      <c r="F104" t="str">
        <f>+CHOOSE(Tbl_2020[[#This Row],[Type of Service]],"PEST","Disinfe","Rodent","Bird","Termite")</f>
        <v>Disinfe</v>
      </c>
      <c r="G104">
        <v>5</v>
      </c>
      <c r="H104" s="4">
        <f>+CHOOSE(Tbl_2020[[#This Row],[Type of Service]],2000,3000,3500,4500,5000)*Tbl_2020[[#This Row],[No of Visits]]</f>
        <v>15000</v>
      </c>
    </row>
    <row r="105" spans="2:8" x14ac:dyDescent="0.3">
      <c r="B105" t="s">
        <v>112</v>
      </c>
      <c r="C105" t="s">
        <v>781</v>
      </c>
      <c r="D105" t="s">
        <v>10</v>
      </c>
      <c r="E105">
        <v>1</v>
      </c>
      <c r="F105" t="str">
        <f>+CHOOSE(Tbl_2020[[#This Row],[Type of Service]],"PEST","Disinfe","Rodent","Bird","Termite")</f>
        <v>PEST</v>
      </c>
      <c r="G105">
        <v>20</v>
      </c>
      <c r="H105" s="4">
        <f>+CHOOSE(Tbl_2020[[#This Row],[Type of Service]],2000,3000,3500,4500,5000)*Tbl_2020[[#This Row],[No of Visits]]</f>
        <v>40000</v>
      </c>
    </row>
    <row r="106" spans="2:8" x14ac:dyDescent="0.3">
      <c r="B106" t="s">
        <v>113</v>
      </c>
      <c r="C106" t="s">
        <v>782</v>
      </c>
      <c r="D106" t="s">
        <v>12</v>
      </c>
      <c r="E106">
        <v>4</v>
      </c>
      <c r="F106" t="str">
        <f>+CHOOSE(Tbl_2020[[#This Row],[Type of Service]],"PEST","Disinfe","Rodent","Bird","Termite")</f>
        <v>Bird</v>
      </c>
      <c r="G106">
        <v>20</v>
      </c>
      <c r="H106" s="4">
        <f>+CHOOSE(Tbl_2020[[#This Row],[Type of Service]],2000,3000,3500,4500,5000)*Tbl_2020[[#This Row],[No of Visits]]</f>
        <v>90000</v>
      </c>
    </row>
    <row r="107" spans="2:8" x14ac:dyDescent="0.3">
      <c r="B107" t="s">
        <v>114</v>
      </c>
      <c r="C107" t="s">
        <v>115</v>
      </c>
      <c r="D107" t="s">
        <v>14</v>
      </c>
      <c r="E107">
        <v>3</v>
      </c>
      <c r="F107" t="str">
        <f>+CHOOSE(Tbl_2020[[#This Row],[Type of Service]],"PEST","Disinfe","Rodent","Bird","Termite")</f>
        <v>Rodent</v>
      </c>
      <c r="G107">
        <v>22</v>
      </c>
      <c r="H107" s="4">
        <f>+CHOOSE(Tbl_2020[[#This Row],[Type of Service]],2000,3000,3500,4500,5000)*Tbl_2020[[#This Row],[No of Visits]]</f>
        <v>77000</v>
      </c>
    </row>
    <row r="108" spans="2:8" x14ac:dyDescent="0.3">
      <c r="B108" t="s">
        <v>116</v>
      </c>
      <c r="C108" t="s">
        <v>783</v>
      </c>
      <c r="D108" t="s">
        <v>16</v>
      </c>
      <c r="E108">
        <v>3</v>
      </c>
      <c r="F108" t="str">
        <f>+CHOOSE(Tbl_2020[[#This Row],[Type of Service]],"PEST","Disinfe","Rodent","Bird","Termite")</f>
        <v>Rodent</v>
      </c>
      <c r="G108">
        <v>16</v>
      </c>
      <c r="H108" s="4">
        <f>+CHOOSE(Tbl_2020[[#This Row],[Type of Service]],2000,3000,3500,4500,5000)*Tbl_2020[[#This Row],[No of Visits]]</f>
        <v>56000</v>
      </c>
    </row>
    <row r="109" spans="2:8" x14ac:dyDescent="0.3">
      <c r="B109" t="s">
        <v>117</v>
      </c>
      <c r="C109" t="s">
        <v>784</v>
      </c>
      <c r="D109" t="s">
        <v>4</v>
      </c>
      <c r="E109">
        <v>2</v>
      </c>
      <c r="F109" t="str">
        <f>+CHOOSE(Tbl_2020[[#This Row],[Type of Service]],"PEST","Disinfe","Rodent","Bird","Termite")</f>
        <v>Disinfe</v>
      </c>
      <c r="G109">
        <v>25</v>
      </c>
      <c r="H109" s="4">
        <f>+CHOOSE(Tbl_2020[[#This Row],[Type of Service]],2000,3000,3500,4500,5000)*Tbl_2020[[#This Row],[No of Visits]]</f>
        <v>75000</v>
      </c>
    </row>
    <row r="110" spans="2:8" x14ac:dyDescent="0.3">
      <c r="B110" t="s">
        <v>118</v>
      </c>
      <c r="C110" t="s">
        <v>119</v>
      </c>
      <c r="D110" t="s">
        <v>6</v>
      </c>
      <c r="E110">
        <v>4</v>
      </c>
      <c r="F110" t="str">
        <f>+CHOOSE(Tbl_2020[[#This Row],[Type of Service]],"PEST","Disinfe","Rodent","Bird","Termite")</f>
        <v>Bird</v>
      </c>
      <c r="G110">
        <v>10</v>
      </c>
      <c r="H110" s="4">
        <f>+CHOOSE(Tbl_2020[[#This Row],[Type of Service]],2000,3000,3500,4500,5000)*Tbl_2020[[#This Row],[No of Visits]]</f>
        <v>45000</v>
      </c>
    </row>
    <row r="111" spans="2:8" x14ac:dyDescent="0.3">
      <c r="B111" t="s">
        <v>120</v>
      </c>
      <c r="C111" t="s">
        <v>785</v>
      </c>
      <c r="D111" t="s">
        <v>8</v>
      </c>
      <c r="E111">
        <v>2</v>
      </c>
      <c r="F111" t="str">
        <f>+CHOOSE(Tbl_2020[[#This Row],[Type of Service]],"PEST","Disinfe","Rodent","Bird","Termite")</f>
        <v>Disinfe</v>
      </c>
      <c r="G111">
        <v>18</v>
      </c>
      <c r="H111" s="4">
        <f>+CHOOSE(Tbl_2020[[#This Row],[Type of Service]],2000,3000,3500,4500,5000)*Tbl_2020[[#This Row],[No of Visits]]</f>
        <v>54000</v>
      </c>
    </row>
    <row r="112" spans="2:8" x14ac:dyDescent="0.3">
      <c r="B112" t="s">
        <v>121</v>
      </c>
      <c r="C112" t="s">
        <v>786</v>
      </c>
      <c r="D112" t="s">
        <v>10</v>
      </c>
      <c r="E112">
        <v>4</v>
      </c>
      <c r="F112" t="str">
        <f>+CHOOSE(Tbl_2020[[#This Row],[Type of Service]],"PEST","Disinfe","Rodent","Bird","Termite")</f>
        <v>Bird</v>
      </c>
      <c r="G112">
        <v>29</v>
      </c>
      <c r="H112" s="4">
        <f>+CHOOSE(Tbl_2020[[#This Row],[Type of Service]],2000,3000,3500,4500,5000)*Tbl_2020[[#This Row],[No of Visits]]</f>
        <v>130500</v>
      </c>
    </row>
    <row r="113" spans="2:8" x14ac:dyDescent="0.3">
      <c r="B113" t="s">
        <v>122</v>
      </c>
      <c r="C113" t="s">
        <v>787</v>
      </c>
      <c r="D113" t="s">
        <v>12</v>
      </c>
      <c r="E113">
        <v>1</v>
      </c>
      <c r="F113" t="str">
        <f>+CHOOSE(Tbl_2020[[#This Row],[Type of Service]],"PEST","Disinfe","Rodent","Bird","Termite")</f>
        <v>PEST</v>
      </c>
      <c r="G113">
        <v>12</v>
      </c>
      <c r="H113" s="4">
        <f>+CHOOSE(Tbl_2020[[#This Row],[Type of Service]],2000,3000,3500,4500,5000)*Tbl_2020[[#This Row],[No of Visits]]</f>
        <v>24000</v>
      </c>
    </row>
    <row r="114" spans="2:8" x14ac:dyDescent="0.3">
      <c r="B114" t="s">
        <v>123</v>
      </c>
      <c r="C114" t="s">
        <v>788</v>
      </c>
      <c r="D114" t="s">
        <v>14</v>
      </c>
      <c r="E114">
        <v>2</v>
      </c>
      <c r="F114" t="str">
        <f>+CHOOSE(Tbl_2020[[#This Row],[Type of Service]],"PEST","Disinfe","Rodent","Bird","Termite")</f>
        <v>Disinfe</v>
      </c>
      <c r="G114">
        <v>22</v>
      </c>
      <c r="H114" s="4">
        <f>+CHOOSE(Tbl_2020[[#This Row],[Type of Service]],2000,3000,3500,4500,5000)*Tbl_2020[[#This Row],[No of Visits]]</f>
        <v>66000</v>
      </c>
    </row>
    <row r="115" spans="2:8" x14ac:dyDescent="0.3">
      <c r="B115" t="s">
        <v>124</v>
      </c>
      <c r="C115" t="s">
        <v>789</v>
      </c>
      <c r="D115" t="s">
        <v>16</v>
      </c>
      <c r="E115">
        <v>3</v>
      </c>
      <c r="F115" t="str">
        <f>+CHOOSE(Tbl_2020[[#This Row],[Type of Service]],"PEST","Disinfe","Rodent","Bird","Termite")</f>
        <v>Rodent</v>
      </c>
      <c r="G115">
        <v>24</v>
      </c>
      <c r="H115" s="4">
        <f>+CHOOSE(Tbl_2020[[#This Row],[Type of Service]],2000,3000,3500,4500,5000)*Tbl_2020[[#This Row],[No of Visits]]</f>
        <v>84000</v>
      </c>
    </row>
    <row r="116" spans="2:8" x14ac:dyDescent="0.3">
      <c r="B116" t="s">
        <v>125</v>
      </c>
      <c r="C116" t="s">
        <v>790</v>
      </c>
      <c r="D116" t="s">
        <v>4</v>
      </c>
      <c r="E116">
        <v>3</v>
      </c>
      <c r="F116" t="str">
        <f>+CHOOSE(Tbl_2020[[#This Row],[Type of Service]],"PEST","Disinfe","Rodent","Bird","Termite")</f>
        <v>Rodent</v>
      </c>
      <c r="G116">
        <v>22</v>
      </c>
      <c r="H116" s="4">
        <f>+CHOOSE(Tbl_2020[[#This Row],[Type of Service]],2000,3000,3500,4500,5000)*Tbl_2020[[#This Row],[No of Visits]]</f>
        <v>77000</v>
      </c>
    </row>
    <row r="117" spans="2:8" x14ac:dyDescent="0.3">
      <c r="B117" t="s">
        <v>126</v>
      </c>
      <c r="C117" t="s">
        <v>791</v>
      </c>
      <c r="D117" t="s">
        <v>6</v>
      </c>
      <c r="E117">
        <v>2</v>
      </c>
      <c r="F117" t="str">
        <f>+CHOOSE(Tbl_2020[[#This Row],[Type of Service]],"PEST","Disinfe","Rodent","Bird","Termite")</f>
        <v>Disinfe</v>
      </c>
      <c r="G117">
        <v>22</v>
      </c>
      <c r="H117" s="4">
        <f>+CHOOSE(Tbl_2020[[#This Row],[Type of Service]],2000,3000,3500,4500,5000)*Tbl_2020[[#This Row],[No of Visits]]</f>
        <v>66000</v>
      </c>
    </row>
    <row r="118" spans="2:8" x14ac:dyDescent="0.3">
      <c r="B118" t="s">
        <v>127</v>
      </c>
      <c r="C118" t="s">
        <v>792</v>
      </c>
      <c r="D118" t="s">
        <v>8</v>
      </c>
      <c r="E118">
        <v>1</v>
      </c>
      <c r="F118" t="str">
        <f>+CHOOSE(Tbl_2020[[#This Row],[Type of Service]],"PEST","Disinfe","Rodent","Bird","Termite")</f>
        <v>PEST</v>
      </c>
      <c r="G118">
        <v>7</v>
      </c>
      <c r="H118" s="4">
        <f>+CHOOSE(Tbl_2020[[#This Row],[Type of Service]],2000,3000,3500,4500,5000)*Tbl_2020[[#This Row],[No of Visits]]</f>
        <v>14000</v>
      </c>
    </row>
    <row r="119" spans="2:8" x14ac:dyDescent="0.3">
      <c r="B119" t="s">
        <v>128</v>
      </c>
      <c r="C119" t="s">
        <v>793</v>
      </c>
      <c r="D119" t="s">
        <v>10</v>
      </c>
      <c r="E119">
        <v>4</v>
      </c>
      <c r="F119" t="str">
        <f>+CHOOSE(Tbl_2020[[#This Row],[Type of Service]],"PEST","Disinfe","Rodent","Bird","Termite")</f>
        <v>Bird</v>
      </c>
      <c r="G119">
        <v>22</v>
      </c>
      <c r="H119" s="4">
        <f>+CHOOSE(Tbl_2020[[#This Row],[Type of Service]],2000,3000,3500,4500,5000)*Tbl_2020[[#This Row],[No of Visits]]</f>
        <v>99000</v>
      </c>
    </row>
    <row r="120" spans="2:8" x14ac:dyDescent="0.3">
      <c r="B120" t="s">
        <v>129</v>
      </c>
      <c r="C120" t="s">
        <v>794</v>
      </c>
      <c r="D120" t="s">
        <v>12</v>
      </c>
      <c r="E120">
        <v>1</v>
      </c>
      <c r="F120" t="str">
        <f>+CHOOSE(Tbl_2020[[#This Row],[Type of Service]],"PEST","Disinfe","Rodent","Bird","Termite")</f>
        <v>PEST</v>
      </c>
      <c r="G120">
        <v>8</v>
      </c>
      <c r="H120" s="4">
        <f>+CHOOSE(Tbl_2020[[#This Row],[Type of Service]],2000,3000,3500,4500,5000)*Tbl_2020[[#This Row],[No of Visits]]</f>
        <v>16000</v>
      </c>
    </row>
    <row r="121" spans="2:8" x14ac:dyDescent="0.3">
      <c r="B121" t="s">
        <v>130</v>
      </c>
      <c r="C121" t="s">
        <v>795</v>
      </c>
      <c r="D121" t="s">
        <v>14</v>
      </c>
      <c r="E121">
        <v>3</v>
      </c>
      <c r="F121" t="str">
        <f>+CHOOSE(Tbl_2020[[#This Row],[Type of Service]],"PEST","Disinfe","Rodent","Bird","Termite")</f>
        <v>Rodent</v>
      </c>
      <c r="G121">
        <v>24</v>
      </c>
      <c r="H121" s="4">
        <f>+CHOOSE(Tbl_2020[[#This Row],[Type of Service]],2000,3000,3500,4500,5000)*Tbl_2020[[#This Row],[No of Visits]]</f>
        <v>84000</v>
      </c>
    </row>
    <row r="122" spans="2:8" x14ac:dyDescent="0.3">
      <c r="B122" t="s">
        <v>131</v>
      </c>
      <c r="C122" t="s">
        <v>796</v>
      </c>
      <c r="D122" t="s">
        <v>16</v>
      </c>
      <c r="E122">
        <v>1</v>
      </c>
      <c r="F122" t="str">
        <f>+CHOOSE(Tbl_2020[[#This Row],[Type of Service]],"PEST","Disinfe","Rodent","Bird","Termite")</f>
        <v>PEST</v>
      </c>
      <c r="G122">
        <v>22</v>
      </c>
      <c r="H122" s="4">
        <f>+CHOOSE(Tbl_2020[[#This Row],[Type of Service]],2000,3000,3500,4500,5000)*Tbl_2020[[#This Row],[No of Visits]]</f>
        <v>44000</v>
      </c>
    </row>
    <row r="123" spans="2:8" x14ac:dyDescent="0.3">
      <c r="B123" t="s">
        <v>132</v>
      </c>
      <c r="C123" t="s">
        <v>797</v>
      </c>
      <c r="D123" t="s">
        <v>4</v>
      </c>
      <c r="E123">
        <v>2</v>
      </c>
      <c r="F123" t="str">
        <f>+CHOOSE(Tbl_2020[[#This Row],[Type of Service]],"PEST","Disinfe","Rodent","Bird","Termite")</f>
        <v>Disinfe</v>
      </c>
      <c r="G123">
        <v>26</v>
      </c>
      <c r="H123" s="4">
        <f>+CHOOSE(Tbl_2020[[#This Row],[Type of Service]],2000,3000,3500,4500,5000)*Tbl_2020[[#This Row],[No of Visits]]</f>
        <v>78000</v>
      </c>
    </row>
    <row r="124" spans="2:8" x14ac:dyDescent="0.3">
      <c r="B124" t="s">
        <v>133</v>
      </c>
      <c r="C124" t="s">
        <v>798</v>
      </c>
      <c r="D124" t="s">
        <v>6</v>
      </c>
      <c r="E124">
        <v>2</v>
      </c>
      <c r="F124" t="str">
        <f>+CHOOSE(Tbl_2020[[#This Row],[Type of Service]],"PEST","Disinfe","Rodent","Bird","Termite")</f>
        <v>Disinfe</v>
      </c>
      <c r="G124">
        <v>12</v>
      </c>
      <c r="H124" s="4">
        <f>+CHOOSE(Tbl_2020[[#This Row],[Type of Service]],2000,3000,3500,4500,5000)*Tbl_2020[[#This Row],[No of Visits]]</f>
        <v>36000</v>
      </c>
    </row>
    <row r="125" spans="2:8" x14ac:dyDescent="0.3">
      <c r="B125" t="s">
        <v>134</v>
      </c>
      <c r="C125" t="s">
        <v>793</v>
      </c>
      <c r="D125" t="s">
        <v>8</v>
      </c>
      <c r="E125">
        <v>4</v>
      </c>
      <c r="F125" t="str">
        <f>+CHOOSE(Tbl_2020[[#This Row],[Type of Service]],"PEST","Disinfe","Rodent","Bird","Termite")</f>
        <v>Bird</v>
      </c>
      <c r="G125">
        <v>15</v>
      </c>
      <c r="H125" s="4">
        <f>+CHOOSE(Tbl_2020[[#This Row],[Type of Service]],2000,3000,3500,4500,5000)*Tbl_2020[[#This Row],[No of Visits]]</f>
        <v>67500</v>
      </c>
    </row>
    <row r="126" spans="2:8" x14ac:dyDescent="0.3">
      <c r="B126" t="s">
        <v>135</v>
      </c>
      <c r="C126" t="s">
        <v>799</v>
      </c>
      <c r="D126" t="s">
        <v>10</v>
      </c>
      <c r="E126">
        <v>2</v>
      </c>
      <c r="F126" t="str">
        <f>+CHOOSE(Tbl_2020[[#This Row],[Type of Service]],"PEST","Disinfe","Rodent","Bird","Termite")</f>
        <v>Disinfe</v>
      </c>
      <c r="G126">
        <v>2</v>
      </c>
      <c r="H126" s="4">
        <f>+CHOOSE(Tbl_2020[[#This Row],[Type of Service]],2000,3000,3500,4500,5000)*Tbl_2020[[#This Row],[No of Visits]]</f>
        <v>6000</v>
      </c>
    </row>
    <row r="127" spans="2:8" x14ac:dyDescent="0.3">
      <c r="B127" t="s">
        <v>136</v>
      </c>
      <c r="C127" t="s">
        <v>800</v>
      </c>
      <c r="D127" t="s">
        <v>12</v>
      </c>
      <c r="E127">
        <v>4</v>
      </c>
      <c r="F127" t="str">
        <f>+CHOOSE(Tbl_2020[[#This Row],[Type of Service]],"PEST","Disinfe","Rodent","Bird","Termite")</f>
        <v>Bird</v>
      </c>
      <c r="G127">
        <v>20</v>
      </c>
      <c r="H127" s="4">
        <f>+CHOOSE(Tbl_2020[[#This Row],[Type of Service]],2000,3000,3500,4500,5000)*Tbl_2020[[#This Row],[No of Visits]]</f>
        <v>90000</v>
      </c>
    </row>
    <row r="128" spans="2:8" x14ac:dyDescent="0.3">
      <c r="B128" t="s">
        <v>137</v>
      </c>
      <c r="C128" t="s">
        <v>801</v>
      </c>
      <c r="D128" t="s">
        <v>14</v>
      </c>
      <c r="E128">
        <v>4</v>
      </c>
      <c r="F128" t="str">
        <f>+CHOOSE(Tbl_2020[[#This Row],[Type of Service]],"PEST","Disinfe","Rodent","Bird","Termite")</f>
        <v>Bird</v>
      </c>
      <c r="G128">
        <v>15</v>
      </c>
      <c r="H128" s="4">
        <f>+CHOOSE(Tbl_2020[[#This Row],[Type of Service]],2000,3000,3500,4500,5000)*Tbl_2020[[#This Row],[No of Visits]]</f>
        <v>67500</v>
      </c>
    </row>
    <row r="129" spans="2:8" x14ac:dyDescent="0.3">
      <c r="B129" t="s">
        <v>138</v>
      </c>
      <c r="C129" t="s">
        <v>802</v>
      </c>
      <c r="D129" t="s">
        <v>16</v>
      </c>
      <c r="E129">
        <v>1</v>
      </c>
      <c r="F129" t="str">
        <f>+CHOOSE(Tbl_2020[[#This Row],[Type of Service]],"PEST","Disinfe","Rodent","Bird","Termite")</f>
        <v>PEST</v>
      </c>
      <c r="G129">
        <v>11</v>
      </c>
      <c r="H129" s="4">
        <f>+CHOOSE(Tbl_2020[[#This Row],[Type of Service]],2000,3000,3500,4500,5000)*Tbl_2020[[#This Row],[No of Visits]]</f>
        <v>22000</v>
      </c>
    </row>
    <row r="130" spans="2:8" x14ac:dyDescent="0.3">
      <c r="B130" t="s">
        <v>139</v>
      </c>
      <c r="C130" t="s">
        <v>803</v>
      </c>
      <c r="D130" t="s">
        <v>4</v>
      </c>
      <c r="E130">
        <v>1</v>
      </c>
      <c r="F130" t="str">
        <f>+CHOOSE(Tbl_2020[[#This Row],[Type of Service]],"PEST","Disinfe","Rodent","Bird","Termite")</f>
        <v>PEST</v>
      </c>
      <c r="G130">
        <v>27</v>
      </c>
      <c r="H130" s="4">
        <f>+CHOOSE(Tbl_2020[[#This Row],[Type of Service]],2000,3000,3500,4500,5000)*Tbl_2020[[#This Row],[No of Visits]]</f>
        <v>54000</v>
      </c>
    </row>
    <row r="131" spans="2:8" x14ac:dyDescent="0.3">
      <c r="B131" t="s">
        <v>140</v>
      </c>
      <c r="C131" t="s">
        <v>804</v>
      </c>
      <c r="D131" t="s">
        <v>6</v>
      </c>
      <c r="E131">
        <v>1</v>
      </c>
      <c r="F131" t="str">
        <f>+CHOOSE(Tbl_2020[[#This Row],[Type of Service]],"PEST","Disinfe","Rodent","Bird","Termite")</f>
        <v>PEST</v>
      </c>
      <c r="G131">
        <v>9</v>
      </c>
      <c r="H131" s="4">
        <f>+CHOOSE(Tbl_2020[[#This Row],[Type of Service]],2000,3000,3500,4500,5000)*Tbl_2020[[#This Row],[No of Visits]]</f>
        <v>18000</v>
      </c>
    </row>
    <row r="132" spans="2:8" x14ac:dyDescent="0.3">
      <c r="B132" t="s">
        <v>141</v>
      </c>
      <c r="C132" t="s">
        <v>727</v>
      </c>
      <c r="D132" t="s">
        <v>8</v>
      </c>
      <c r="E132">
        <v>2</v>
      </c>
      <c r="F132" t="str">
        <f>+CHOOSE(Tbl_2020[[#This Row],[Type of Service]],"PEST","Disinfe","Rodent","Bird","Termite")</f>
        <v>Disinfe</v>
      </c>
      <c r="G132">
        <v>16</v>
      </c>
      <c r="H132" s="4">
        <f>+CHOOSE(Tbl_2020[[#This Row],[Type of Service]],2000,3000,3500,4500,5000)*Tbl_2020[[#This Row],[No of Visits]]</f>
        <v>48000</v>
      </c>
    </row>
    <row r="133" spans="2:8" x14ac:dyDescent="0.3">
      <c r="B133" t="s">
        <v>142</v>
      </c>
      <c r="C133" t="s">
        <v>805</v>
      </c>
      <c r="D133" t="s">
        <v>10</v>
      </c>
      <c r="E133">
        <v>3</v>
      </c>
      <c r="F133" t="str">
        <f>+CHOOSE(Tbl_2020[[#This Row],[Type of Service]],"PEST","Disinfe","Rodent","Bird","Termite")</f>
        <v>Rodent</v>
      </c>
      <c r="G133">
        <v>10</v>
      </c>
      <c r="H133" s="4">
        <f>+CHOOSE(Tbl_2020[[#This Row],[Type of Service]],2000,3000,3500,4500,5000)*Tbl_2020[[#This Row],[No of Visits]]</f>
        <v>35000</v>
      </c>
    </row>
    <row r="134" spans="2:8" x14ac:dyDescent="0.3">
      <c r="B134" t="s">
        <v>143</v>
      </c>
      <c r="C134" t="s">
        <v>806</v>
      </c>
      <c r="D134" t="s">
        <v>12</v>
      </c>
      <c r="E134">
        <v>1</v>
      </c>
      <c r="F134" t="str">
        <f>+CHOOSE(Tbl_2020[[#This Row],[Type of Service]],"PEST","Disinfe","Rodent","Bird","Termite")</f>
        <v>PEST</v>
      </c>
      <c r="G134">
        <v>5</v>
      </c>
      <c r="H134" s="4">
        <f>+CHOOSE(Tbl_2020[[#This Row],[Type of Service]],2000,3000,3500,4500,5000)*Tbl_2020[[#This Row],[No of Visits]]</f>
        <v>10000</v>
      </c>
    </row>
    <row r="135" spans="2:8" x14ac:dyDescent="0.3">
      <c r="B135" t="s">
        <v>144</v>
      </c>
      <c r="C135" t="s">
        <v>807</v>
      </c>
      <c r="D135" t="s">
        <v>14</v>
      </c>
      <c r="E135">
        <v>3</v>
      </c>
      <c r="F135" t="str">
        <f>+CHOOSE(Tbl_2020[[#This Row],[Type of Service]],"PEST","Disinfe","Rodent","Bird","Termite")</f>
        <v>Rodent</v>
      </c>
      <c r="G135">
        <v>15</v>
      </c>
      <c r="H135" s="4">
        <f>+CHOOSE(Tbl_2020[[#This Row],[Type of Service]],2000,3000,3500,4500,5000)*Tbl_2020[[#This Row],[No of Visits]]</f>
        <v>52500</v>
      </c>
    </row>
    <row r="136" spans="2:8" x14ac:dyDescent="0.3">
      <c r="B136" t="s">
        <v>145</v>
      </c>
      <c r="C136" t="s">
        <v>734</v>
      </c>
      <c r="D136" t="s">
        <v>16</v>
      </c>
      <c r="E136">
        <v>2</v>
      </c>
      <c r="F136" t="str">
        <f>+CHOOSE(Tbl_2020[[#This Row],[Type of Service]],"PEST","Disinfe","Rodent","Bird","Termite")</f>
        <v>Disinfe</v>
      </c>
      <c r="G136">
        <v>22</v>
      </c>
      <c r="H136" s="4">
        <f>+CHOOSE(Tbl_2020[[#This Row],[Type of Service]],2000,3000,3500,4500,5000)*Tbl_2020[[#This Row],[No of Visits]]</f>
        <v>66000</v>
      </c>
    </row>
    <row r="137" spans="2:8" x14ac:dyDescent="0.3">
      <c r="B137" t="s">
        <v>146</v>
      </c>
      <c r="C137" t="s">
        <v>808</v>
      </c>
      <c r="D137" t="s">
        <v>4</v>
      </c>
      <c r="E137">
        <v>2</v>
      </c>
      <c r="F137" t="str">
        <f>+CHOOSE(Tbl_2020[[#This Row],[Type of Service]],"PEST","Disinfe","Rodent","Bird","Termite")</f>
        <v>Disinfe</v>
      </c>
      <c r="G137">
        <v>28</v>
      </c>
      <c r="H137" s="4">
        <f>+CHOOSE(Tbl_2020[[#This Row],[Type of Service]],2000,3000,3500,4500,5000)*Tbl_2020[[#This Row],[No of Visits]]</f>
        <v>84000</v>
      </c>
    </row>
    <row r="138" spans="2:8" x14ac:dyDescent="0.3">
      <c r="B138" t="s">
        <v>147</v>
      </c>
      <c r="C138" t="s">
        <v>809</v>
      </c>
      <c r="D138" t="s">
        <v>6</v>
      </c>
      <c r="E138">
        <v>2</v>
      </c>
      <c r="F138" t="str">
        <f>+CHOOSE(Tbl_2020[[#This Row],[Type of Service]],"PEST","Disinfe","Rodent","Bird","Termite")</f>
        <v>Disinfe</v>
      </c>
      <c r="G138">
        <v>25</v>
      </c>
      <c r="H138" s="4">
        <f>+CHOOSE(Tbl_2020[[#This Row],[Type of Service]],2000,3000,3500,4500,5000)*Tbl_2020[[#This Row],[No of Visits]]</f>
        <v>75000</v>
      </c>
    </row>
    <row r="139" spans="2:8" x14ac:dyDescent="0.3">
      <c r="B139" t="s">
        <v>148</v>
      </c>
      <c r="C139" t="s">
        <v>810</v>
      </c>
      <c r="D139" t="s">
        <v>8</v>
      </c>
      <c r="E139">
        <v>1</v>
      </c>
      <c r="F139" t="str">
        <f>+CHOOSE(Tbl_2020[[#This Row],[Type of Service]],"PEST","Disinfe","Rodent","Bird","Termite")</f>
        <v>PEST</v>
      </c>
      <c r="G139">
        <v>28</v>
      </c>
      <c r="H139" s="4">
        <f>+CHOOSE(Tbl_2020[[#This Row],[Type of Service]],2000,3000,3500,4500,5000)*Tbl_2020[[#This Row],[No of Visits]]</f>
        <v>56000</v>
      </c>
    </row>
    <row r="140" spans="2:8" x14ac:dyDescent="0.3">
      <c r="B140" t="s">
        <v>149</v>
      </c>
      <c r="C140" t="s">
        <v>811</v>
      </c>
      <c r="D140" t="s">
        <v>10</v>
      </c>
      <c r="E140">
        <v>1</v>
      </c>
      <c r="F140" t="str">
        <f>+CHOOSE(Tbl_2020[[#This Row],[Type of Service]],"PEST","Disinfe","Rodent","Bird","Termite")</f>
        <v>PEST</v>
      </c>
      <c r="G140">
        <v>22</v>
      </c>
      <c r="H140" s="4">
        <f>+CHOOSE(Tbl_2020[[#This Row],[Type of Service]],2000,3000,3500,4500,5000)*Tbl_2020[[#This Row],[No of Visits]]</f>
        <v>44000</v>
      </c>
    </row>
    <row r="141" spans="2:8" x14ac:dyDescent="0.3">
      <c r="B141" t="s">
        <v>150</v>
      </c>
      <c r="C141" t="s">
        <v>812</v>
      </c>
      <c r="D141" t="s">
        <v>12</v>
      </c>
      <c r="E141">
        <v>1</v>
      </c>
      <c r="F141" t="str">
        <f>+CHOOSE(Tbl_2020[[#This Row],[Type of Service]],"PEST","Disinfe","Rodent","Bird","Termite")</f>
        <v>PEST</v>
      </c>
      <c r="G141">
        <v>16</v>
      </c>
      <c r="H141" s="4">
        <f>+CHOOSE(Tbl_2020[[#This Row],[Type of Service]],2000,3000,3500,4500,5000)*Tbl_2020[[#This Row],[No of Visits]]</f>
        <v>32000</v>
      </c>
    </row>
    <row r="142" spans="2:8" x14ac:dyDescent="0.3">
      <c r="B142" t="s">
        <v>151</v>
      </c>
      <c r="C142" t="s">
        <v>754</v>
      </c>
      <c r="D142" t="s">
        <v>14</v>
      </c>
      <c r="E142">
        <v>2</v>
      </c>
      <c r="F142" t="str">
        <f>+CHOOSE(Tbl_2020[[#This Row],[Type of Service]],"PEST","Disinfe","Rodent","Bird","Termite")</f>
        <v>Disinfe</v>
      </c>
      <c r="G142">
        <v>16</v>
      </c>
      <c r="H142" s="4">
        <f>+CHOOSE(Tbl_2020[[#This Row],[Type of Service]],2000,3000,3500,4500,5000)*Tbl_2020[[#This Row],[No of Visits]]</f>
        <v>48000</v>
      </c>
    </row>
    <row r="143" spans="2:8" x14ac:dyDescent="0.3">
      <c r="B143" t="s">
        <v>152</v>
      </c>
      <c r="C143" t="s">
        <v>813</v>
      </c>
      <c r="D143" t="s">
        <v>16</v>
      </c>
      <c r="E143">
        <v>3</v>
      </c>
      <c r="F143" t="str">
        <f>+CHOOSE(Tbl_2020[[#This Row],[Type of Service]],"PEST","Disinfe","Rodent","Bird","Termite")</f>
        <v>Rodent</v>
      </c>
      <c r="G143">
        <v>10</v>
      </c>
      <c r="H143" s="4">
        <f>+CHOOSE(Tbl_2020[[#This Row],[Type of Service]],2000,3000,3500,4500,5000)*Tbl_2020[[#This Row],[No of Visits]]</f>
        <v>35000</v>
      </c>
    </row>
    <row r="144" spans="2:8" x14ac:dyDescent="0.3">
      <c r="B144" t="s">
        <v>153</v>
      </c>
      <c r="C144" t="s">
        <v>814</v>
      </c>
      <c r="D144" t="s">
        <v>4</v>
      </c>
      <c r="E144">
        <v>1</v>
      </c>
      <c r="F144" t="str">
        <f>+CHOOSE(Tbl_2020[[#This Row],[Type of Service]],"PEST","Disinfe","Rodent","Bird","Termite")</f>
        <v>PEST</v>
      </c>
      <c r="G144">
        <v>12</v>
      </c>
      <c r="H144" s="4">
        <f>+CHOOSE(Tbl_2020[[#This Row],[Type of Service]],2000,3000,3500,4500,5000)*Tbl_2020[[#This Row],[No of Visits]]</f>
        <v>24000</v>
      </c>
    </row>
    <row r="145" spans="2:8" x14ac:dyDescent="0.3">
      <c r="B145" t="s">
        <v>154</v>
      </c>
      <c r="C145" t="s">
        <v>815</v>
      </c>
      <c r="D145" t="s">
        <v>6</v>
      </c>
      <c r="E145">
        <v>2</v>
      </c>
      <c r="F145" t="str">
        <f>+CHOOSE(Tbl_2020[[#This Row],[Type of Service]],"PEST","Disinfe","Rodent","Bird","Termite")</f>
        <v>Disinfe</v>
      </c>
      <c r="G145">
        <v>26</v>
      </c>
      <c r="H145" s="4">
        <f>+CHOOSE(Tbl_2020[[#This Row],[Type of Service]],2000,3000,3500,4500,5000)*Tbl_2020[[#This Row],[No of Visits]]</f>
        <v>78000</v>
      </c>
    </row>
    <row r="146" spans="2:8" x14ac:dyDescent="0.3">
      <c r="B146" t="s">
        <v>155</v>
      </c>
      <c r="C146" t="s">
        <v>816</v>
      </c>
      <c r="D146" t="s">
        <v>8</v>
      </c>
      <c r="E146">
        <v>3</v>
      </c>
      <c r="F146" t="str">
        <f>+CHOOSE(Tbl_2020[[#This Row],[Type of Service]],"PEST","Disinfe","Rodent","Bird","Termite")</f>
        <v>Rodent</v>
      </c>
      <c r="G146">
        <v>24</v>
      </c>
      <c r="H146" s="4">
        <f>+CHOOSE(Tbl_2020[[#This Row],[Type of Service]],2000,3000,3500,4500,5000)*Tbl_2020[[#This Row],[No of Visits]]</f>
        <v>84000</v>
      </c>
    </row>
    <row r="147" spans="2:8" x14ac:dyDescent="0.3">
      <c r="B147" t="s">
        <v>156</v>
      </c>
      <c r="C147" t="s">
        <v>817</v>
      </c>
      <c r="D147" t="s">
        <v>10</v>
      </c>
      <c r="E147">
        <v>3</v>
      </c>
      <c r="F147" t="str">
        <f>+CHOOSE(Tbl_2020[[#This Row],[Type of Service]],"PEST","Disinfe","Rodent","Bird","Termite")</f>
        <v>Rodent</v>
      </c>
      <c r="G147">
        <v>7</v>
      </c>
      <c r="H147" s="4">
        <f>+CHOOSE(Tbl_2020[[#This Row],[Type of Service]],2000,3000,3500,4500,5000)*Tbl_2020[[#This Row],[No of Visits]]</f>
        <v>24500</v>
      </c>
    </row>
    <row r="148" spans="2:8" x14ac:dyDescent="0.3">
      <c r="B148" t="s">
        <v>157</v>
      </c>
      <c r="C148" t="s">
        <v>818</v>
      </c>
      <c r="D148" t="s">
        <v>12</v>
      </c>
      <c r="E148">
        <v>3</v>
      </c>
      <c r="F148" t="str">
        <f>+CHOOSE(Tbl_2020[[#This Row],[Type of Service]],"PEST","Disinfe","Rodent","Bird","Termite")</f>
        <v>Rodent</v>
      </c>
      <c r="G148">
        <v>12</v>
      </c>
      <c r="H148" s="4">
        <f>+CHOOSE(Tbl_2020[[#This Row],[Type of Service]],2000,3000,3500,4500,5000)*Tbl_2020[[#This Row],[No of Visits]]</f>
        <v>42000</v>
      </c>
    </row>
    <row r="149" spans="2:8" x14ac:dyDescent="0.3">
      <c r="B149" t="s">
        <v>158</v>
      </c>
      <c r="C149" t="s">
        <v>819</v>
      </c>
      <c r="D149" t="s">
        <v>14</v>
      </c>
      <c r="E149">
        <v>3</v>
      </c>
      <c r="F149" t="str">
        <f>+CHOOSE(Tbl_2020[[#This Row],[Type of Service]],"PEST","Disinfe","Rodent","Bird","Termite")</f>
        <v>Rodent</v>
      </c>
      <c r="G149">
        <v>9</v>
      </c>
      <c r="H149" s="4">
        <f>+CHOOSE(Tbl_2020[[#This Row],[Type of Service]],2000,3000,3500,4500,5000)*Tbl_2020[[#This Row],[No of Visits]]</f>
        <v>31500</v>
      </c>
    </row>
    <row r="150" spans="2:8" x14ac:dyDescent="0.3">
      <c r="B150" t="s">
        <v>159</v>
      </c>
      <c r="C150" t="s">
        <v>820</v>
      </c>
      <c r="D150" t="s">
        <v>16</v>
      </c>
      <c r="E150">
        <v>4</v>
      </c>
      <c r="F150" t="str">
        <f>+CHOOSE(Tbl_2020[[#This Row],[Type of Service]],"PEST","Disinfe","Rodent","Bird","Termite")</f>
        <v>Bird</v>
      </c>
      <c r="G150">
        <v>2</v>
      </c>
      <c r="H150" s="4">
        <f>+CHOOSE(Tbl_2020[[#This Row],[Type of Service]],2000,3000,3500,4500,5000)*Tbl_2020[[#This Row],[No of Visits]]</f>
        <v>9000</v>
      </c>
    </row>
    <row r="151" spans="2:8" x14ac:dyDescent="0.3">
      <c r="B151" t="s">
        <v>160</v>
      </c>
      <c r="C151" t="s">
        <v>821</v>
      </c>
      <c r="D151" t="s">
        <v>4</v>
      </c>
      <c r="E151">
        <v>2</v>
      </c>
      <c r="F151" t="str">
        <f>+CHOOSE(Tbl_2020[[#This Row],[Type of Service]],"PEST","Disinfe","Rodent","Bird","Termite")</f>
        <v>Disinfe</v>
      </c>
      <c r="G151">
        <v>12</v>
      </c>
      <c r="H151" s="4">
        <f>+CHOOSE(Tbl_2020[[#This Row],[Type of Service]],2000,3000,3500,4500,5000)*Tbl_2020[[#This Row],[No of Visits]]</f>
        <v>36000</v>
      </c>
    </row>
    <row r="152" spans="2:8" x14ac:dyDescent="0.3">
      <c r="B152" t="s">
        <v>161</v>
      </c>
      <c r="C152" t="s">
        <v>822</v>
      </c>
      <c r="D152" t="s">
        <v>6</v>
      </c>
      <c r="E152">
        <v>3</v>
      </c>
      <c r="F152" t="str">
        <f>+CHOOSE(Tbl_2020[[#This Row],[Type of Service]],"PEST","Disinfe","Rodent","Bird","Termite")</f>
        <v>Rodent</v>
      </c>
      <c r="G152">
        <v>5</v>
      </c>
      <c r="H152" s="4">
        <f>+CHOOSE(Tbl_2020[[#This Row],[Type of Service]],2000,3000,3500,4500,5000)*Tbl_2020[[#This Row],[No of Visits]]</f>
        <v>17500</v>
      </c>
    </row>
    <row r="153" spans="2:8" x14ac:dyDescent="0.3">
      <c r="B153" t="s">
        <v>162</v>
      </c>
      <c r="C153" t="s">
        <v>823</v>
      </c>
      <c r="D153" t="s">
        <v>8</v>
      </c>
      <c r="E153">
        <v>4</v>
      </c>
      <c r="F153" t="str">
        <f>+CHOOSE(Tbl_2020[[#This Row],[Type of Service]],"PEST","Disinfe","Rodent","Bird","Termite")</f>
        <v>Bird</v>
      </c>
      <c r="G153">
        <v>12</v>
      </c>
      <c r="H153" s="4">
        <f>+CHOOSE(Tbl_2020[[#This Row],[Type of Service]],2000,3000,3500,4500,5000)*Tbl_2020[[#This Row],[No of Visits]]</f>
        <v>54000</v>
      </c>
    </row>
    <row r="154" spans="2:8" x14ac:dyDescent="0.3">
      <c r="B154" t="s">
        <v>163</v>
      </c>
      <c r="C154" t="s">
        <v>824</v>
      </c>
      <c r="D154" t="s">
        <v>10</v>
      </c>
      <c r="E154">
        <v>1</v>
      </c>
      <c r="F154" t="str">
        <f>+CHOOSE(Tbl_2020[[#This Row],[Type of Service]],"PEST","Disinfe","Rodent","Bird","Termite")</f>
        <v>PEST</v>
      </c>
      <c r="G154">
        <v>27</v>
      </c>
      <c r="H154" s="4">
        <f>+CHOOSE(Tbl_2020[[#This Row],[Type of Service]],2000,3000,3500,4500,5000)*Tbl_2020[[#This Row],[No of Visits]]</f>
        <v>54000</v>
      </c>
    </row>
    <row r="155" spans="2:8" x14ac:dyDescent="0.3">
      <c r="B155" t="s">
        <v>164</v>
      </c>
      <c r="C155" t="s">
        <v>825</v>
      </c>
      <c r="D155" t="s">
        <v>12</v>
      </c>
      <c r="E155">
        <v>4</v>
      </c>
      <c r="F155" t="str">
        <f>+CHOOSE(Tbl_2020[[#This Row],[Type of Service]],"PEST","Disinfe","Rodent","Bird","Termite")</f>
        <v>Bird</v>
      </c>
      <c r="G155">
        <v>6</v>
      </c>
      <c r="H155" s="4">
        <f>+CHOOSE(Tbl_2020[[#This Row],[Type of Service]],2000,3000,3500,4500,5000)*Tbl_2020[[#This Row],[No of Visits]]</f>
        <v>27000</v>
      </c>
    </row>
    <row r="156" spans="2:8" x14ac:dyDescent="0.3">
      <c r="B156" t="s">
        <v>165</v>
      </c>
      <c r="C156" t="s">
        <v>745</v>
      </c>
      <c r="D156" t="s">
        <v>14</v>
      </c>
      <c r="E156">
        <v>1</v>
      </c>
      <c r="F156" t="str">
        <f>+CHOOSE(Tbl_2020[[#This Row],[Type of Service]],"PEST","Disinfe","Rodent","Bird","Termite")</f>
        <v>PEST</v>
      </c>
      <c r="G156">
        <v>22</v>
      </c>
      <c r="H156" s="4">
        <f>+CHOOSE(Tbl_2020[[#This Row],[Type of Service]],2000,3000,3500,4500,5000)*Tbl_2020[[#This Row],[No of Visits]]</f>
        <v>44000</v>
      </c>
    </row>
    <row r="157" spans="2:8" x14ac:dyDescent="0.3">
      <c r="B157" t="s">
        <v>166</v>
      </c>
      <c r="C157" t="s">
        <v>826</v>
      </c>
      <c r="D157" t="s">
        <v>16</v>
      </c>
      <c r="E157">
        <v>4</v>
      </c>
      <c r="F157" t="str">
        <f>+CHOOSE(Tbl_2020[[#This Row],[Type of Service]],"PEST","Disinfe","Rodent","Bird","Termite")</f>
        <v>Bird</v>
      </c>
      <c r="G157">
        <v>19</v>
      </c>
      <c r="H157" s="4">
        <f>+CHOOSE(Tbl_2020[[#This Row],[Type of Service]],2000,3000,3500,4500,5000)*Tbl_2020[[#This Row],[No of Visits]]</f>
        <v>85500</v>
      </c>
    </row>
    <row r="158" spans="2:8" x14ac:dyDescent="0.3">
      <c r="B158" t="s">
        <v>167</v>
      </c>
      <c r="C158" t="s">
        <v>827</v>
      </c>
      <c r="D158" t="s">
        <v>4</v>
      </c>
      <c r="E158">
        <v>4</v>
      </c>
      <c r="F158" t="str">
        <f>+CHOOSE(Tbl_2020[[#This Row],[Type of Service]],"PEST","Disinfe","Rodent","Bird","Termite")</f>
        <v>Bird</v>
      </c>
      <c r="G158">
        <v>8</v>
      </c>
      <c r="H158" s="4">
        <f>+CHOOSE(Tbl_2020[[#This Row],[Type of Service]],2000,3000,3500,4500,5000)*Tbl_2020[[#This Row],[No of Visits]]</f>
        <v>36000</v>
      </c>
    </row>
    <row r="159" spans="2:8" x14ac:dyDescent="0.3">
      <c r="B159" t="s">
        <v>168</v>
      </c>
      <c r="C159" t="s">
        <v>828</v>
      </c>
      <c r="D159" t="s">
        <v>6</v>
      </c>
      <c r="E159">
        <v>1</v>
      </c>
      <c r="F159" t="str">
        <f>+CHOOSE(Tbl_2020[[#This Row],[Type of Service]],"PEST","Disinfe","Rodent","Bird","Termite")</f>
        <v>PEST</v>
      </c>
      <c r="G159">
        <v>21</v>
      </c>
      <c r="H159" s="4">
        <f>+CHOOSE(Tbl_2020[[#This Row],[Type of Service]],2000,3000,3500,4500,5000)*Tbl_2020[[#This Row],[No of Visits]]</f>
        <v>42000</v>
      </c>
    </row>
    <row r="160" spans="2:8" x14ac:dyDescent="0.3">
      <c r="B160" t="s">
        <v>169</v>
      </c>
      <c r="C160" t="s">
        <v>829</v>
      </c>
      <c r="D160" t="s">
        <v>8</v>
      </c>
      <c r="E160">
        <v>4</v>
      </c>
      <c r="F160" t="str">
        <f>+CHOOSE(Tbl_2020[[#This Row],[Type of Service]],"PEST","Disinfe","Rodent","Bird","Termite")</f>
        <v>Bird</v>
      </c>
      <c r="G160">
        <v>10</v>
      </c>
      <c r="H160" s="4">
        <f>+CHOOSE(Tbl_2020[[#This Row],[Type of Service]],2000,3000,3500,4500,5000)*Tbl_2020[[#This Row],[No of Visits]]</f>
        <v>45000</v>
      </c>
    </row>
    <row r="161" spans="2:8" x14ac:dyDescent="0.3">
      <c r="B161" t="s">
        <v>170</v>
      </c>
      <c r="C161" t="s">
        <v>830</v>
      </c>
      <c r="D161" t="s">
        <v>10</v>
      </c>
      <c r="E161">
        <v>4</v>
      </c>
      <c r="F161" t="str">
        <f>+CHOOSE(Tbl_2020[[#This Row],[Type of Service]],"PEST","Disinfe","Rodent","Bird","Termite")</f>
        <v>Bird</v>
      </c>
      <c r="G161">
        <v>21</v>
      </c>
      <c r="H161" s="4">
        <f>+CHOOSE(Tbl_2020[[#This Row],[Type of Service]],2000,3000,3500,4500,5000)*Tbl_2020[[#This Row],[No of Visits]]</f>
        <v>94500</v>
      </c>
    </row>
    <row r="162" spans="2:8" x14ac:dyDescent="0.3">
      <c r="B162" t="s">
        <v>171</v>
      </c>
      <c r="C162" t="s">
        <v>831</v>
      </c>
      <c r="D162" t="s">
        <v>12</v>
      </c>
      <c r="E162">
        <v>4</v>
      </c>
      <c r="F162" t="str">
        <f>+CHOOSE(Tbl_2020[[#This Row],[Type of Service]],"PEST","Disinfe","Rodent","Bird","Termite")</f>
        <v>Bird</v>
      </c>
      <c r="G162">
        <v>1</v>
      </c>
      <c r="H162" s="4">
        <f>+CHOOSE(Tbl_2020[[#This Row],[Type of Service]],2000,3000,3500,4500,5000)*Tbl_2020[[#This Row],[No of Visits]]</f>
        <v>4500</v>
      </c>
    </row>
    <row r="163" spans="2:8" x14ac:dyDescent="0.3">
      <c r="B163" t="s">
        <v>172</v>
      </c>
      <c r="C163" t="s">
        <v>832</v>
      </c>
      <c r="D163" t="s">
        <v>14</v>
      </c>
      <c r="E163">
        <v>2</v>
      </c>
      <c r="F163" t="str">
        <f>+CHOOSE(Tbl_2020[[#This Row],[Type of Service]],"PEST","Disinfe","Rodent","Bird","Termite")</f>
        <v>Disinfe</v>
      </c>
      <c r="G163">
        <v>29</v>
      </c>
      <c r="H163" s="4">
        <f>+CHOOSE(Tbl_2020[[#This Row],[Type of Service]],2000,3000,3500,4500,5000)*Tbl_2020[[#This Row],[No of Visits]]</f>
        <v>87000</v>
      </c>
    </row>
    <row r="164" spans="2:8" x14ac:dyDescent="0.3">
      <c r="B164" t="s">
        <v>173</v>
      </c>
      <c r="C164" t="s">
        <v>833</v>
      </c>
      <c r="D164" t="s">
        <v>16</v>
      </c>
      <c r="E164">
        <v>2</v>
      </c>
      <c r="F164" t="str">
        <f>+CHOOSE(Tbl_2020[[#This Row],[Type of Service]],"PEST","Disinfe","Rodent","Bird","Termite")</f>
        <v>Disinfe</v>
      </c>
      <c r="G164">
        <v>6</v>
      </c>
      <c r="H164" s="4">
        <f>+CHOOSE(Tbl_2020[[#This Row],[Type of Service]],2000,3000,3500,4500,5000)*Tbl_2020[[#This Row],[No of Visits]]</f>
        <v>18000</v>
      </c>
    </row>
    <row r="165" spans="2:8" x14ac:dyDescent="0.3">
      <c r="B165" t="s">
        <v>174</v>
      </c>
      <c r="C165" t="s">
        <v>834</v>
      </c>
      <c r="D165" t="s">
        <v>4</v>
      </c>
      <c r="E165">
        <v>1</v>
      </c>
      <c r="F165" t="str">
        <f>+CHOOSE(Tbl_2020[[#This Row],[Type of Service]],"PEST","Disinfe","Rodent","Bird","Termite")</f>
        <v>PEST</v>
      </c>
      <c r="G165">
        <v>2</v>
      </c>
      <c r="H165" s="4">
        <f>+CHOOSE(Tbl_2020[[#This Row],[Type of Service]],2000,3000,3500,4500,5000)*Tbl_2020[[#This Row],[No of Visits]]</f>
        <v>4000</v>
      </c>
    </row>
    <row r="166" spans="2:8" x14ac:dyDescent="0.3">
      <c r="B166" t="s">
        <v>175</v>
      </c>
      <c r="C166" t="s">
        <v>835</v>
      </c>
      <c r="D166" t="s">
        <v>6</v>
      </c>
      <c r="E166">
        <v>4</v>
      </c>
      <c r="F166" t="str">
        <f>+CHOOSE(Tbl_2020[[#This Row],[Type of Service]],"PEST","Disinfe","Rodent","Bird","Termite")</f>
        <v>Bird</v>
      </c>
      <c r="G166">
        <v>6</v>
      </c>
      <c r="H166" s="4">
        <f>+CHOOSE(Tbl_2020[[#This Row],[Type of Service]],2000,3000,3500,4500,5000)*Tbl_2020[[#This Row],[No of Visits]]</f>
        <v>27000</v>
      </c>
    </row>
    <row r="167" spans="2:8" x14ac:dyDescent="0.3">
      <c r="B167" t="s">
        <v>176</v>
      </c>
      <c r="C167" t="s">
        <v>836</v>
      </c>
      <c r="D167" t="s">
        <v>8</v>
      </c>
      <c r="E167">
        <v>4</v>
      </c>
      <c r="F167" t="str">
        <f>+CHOOSE(Tbl_2020[[#This Row],[Type of Service]],"PEST","Disinfe","Rodent","Bird","Termite")</f>
        <v>Bird</v>
      </c>
      <c r="G167">
        <v>26</v>
      </c>
      <c r="H167" s="4">
        <f>+CHOOSE(Tbl_2020[[#This Row],[Type of Service]],2000,3000,3500,4500,5000)*Tbl_2020[[#This Row],[No of Visits]]</f>
        <v>117000</v>
      </c>
    </row>
    <row r="168" spans="2:8" x14ac:dyDescent="0.3">
      <c r="B168" t="s">
        <v>177</v>
      </c>
      <c r="C168" t="s">
        <v>837</v>
      </c>
      <c r="D168" t="s">
        <v>10</v>
      </c>
      <c r="E168">
        <v>1</v>
      </c>
      <c r="F168" t="str">
        <f>+CHOOSE(Tbl_2020[[#This Row],[Type of Service]],"PEST","Disinfe","Rodent","Bird","Termite")</f>
        <v>PEST</v>
      </c>
      <c r="G168">
        <v>24</v>
      </c>
      <c r="H168" s="4">
        <f>+CHOOSE(Tbl_2020[[#This Row],[Type of Service]],2000,3000,3500,4500,5000)*Tbl_2020[[#This Row],[No of Visits]]</f>
        <v>48000</v>
      </c>
    </row>
    <row r="169" spans="2:8" x14ac:dyDescent="0.3">
      <c r="B169" t="s">
        <v>178</v>
      </c>
      <c r="C169" t="s">
        <v>838</v>
      </c>
      <c r="D169" t="s">
        <v>12</v>
      </c>
      <c r="E169">
        <v>2</v>
      </c>
      <c r="F169" t="str">
        <f>+CHOOSE(Tbl_2020[[#This Row],[Type of Service]],"PEST","Disinfe","Rodent","Bird","Termite")</f>
        <v>Disinfe</v>
      </c>
      <c r="G169">
        <v>20</v>
      </c>
      <c r="H169" s="4">
        <f>+CHOOSE(Tbl_2020[[#This Row],[Type of Service]],2000,3000,3500,4500,5000)*Tbl_2020[[#This Row],[No of Visits]]</f>
        <v>60000</v>
      </c>
    </row>
    <row r="170" spans="2:8" x14ac:dyDescent="0.3">
      <c r="B170" t="s">
        <v>179</v>
      </c>
      <c r="C170" t="s">
        <v>839</v>
      </c>
      <c r="D170" t="s">
        <v>14</v>
      </c>
      <c r="E170">
        <v>4</v>
      </c>
      <c r="F170" t="str">
        <f>+CHOOSE(Tbl_2020[[#This Row],[Type of Service]],"PEST","Disinfe","Rodent","Bird","Termite")</f>
        <v>Bird</v>
      </c>
      <c r="G170">
        <v>20</v>
      </c>
      <c r="H170" s="4">
        <f>+CHOOSE(Tbl_2020[[#This Row],[Type of Service]],2000,3000,3500,4500,5000)*Tbl_2020[[#This Row],[No of Visits]]</f>
        <v>90000</v>
      </c>
    </row>
    <row r="171" spans="2:8" x14ac:dyDescent="0.3">
      <c r="B171" t="s">
        <v>180</v>
      </c>
      <c r="C171" t="s">
        <v>840</v>
      </c>
      <c r="D171" t="s">
        <v>16</v>
      </c>
      <c r="E171">
        <v>2</v>
      </c>
      <c r="F171" t="str">
        <f>+CHOOSE(Tbl_2020[[#This Row],[Type of Service]],"PEST","Disinfe","Rodent","Bird","Termite")</f>
        <v>Disinfe</v>
      </c>
      <c r="G171">
        <v>29</v>
      </c>
      <c r="H171" s="4">
        <f>+CHOOSE(Tbl_2020[[#This Row],[Type of Service]],2000,3000,3500,4500,5000)*Tbl_2020[[#This Row],[No of Visits]]</f>
        <v>87000</v>
      </c>
    </row>
    <row r="172" spans="2:8" x14ac:dyDescent="0.3">
      <c r="B172" t="s">
        <v>181</v>
      </c>
      <c r="C172" t="s">
        <v>841</v>
      </c>
      <c r="D172" t="s">
        <v>4</v>
      </c>
      <c r="E172">
        <v>3</v>
      </c>
      <c r="F172" t="str">
        <f>+CHOOSE(Tbl_2020[[#This Row],[Type of Service]],"PEST","Disinfe","Rodent","Bird","Termite")</f>
        <v>Rodent</v>
      </c>
      <c r="G172">
        <v>11</v>
      </c>
      <c r="H172" s="4">
        <f>+CHOOSE(Tbl_2020[[#This Row],[Type of Service]],2000,3000,3500,4500,5000)*Tbl_2020[[#This Row],[No of Visits]]</f>
        <v>38500</v>
      </c>
    </row>
    <row r="173" spans="2:8" x14ac:dyDescent="0.3">
      <c r="B173" t="s">
        <v>182</v>
      </c>
      <c r="C173" t="s">
        <v>842</v>
      </c>
      <c r="D173" t="s">
        <v>6</v>
      </c>
      <c r="E173">
        <v>2</v>
      </c>
      <c r="F173" t="str">
        <f>+CHOOSE(Tbl_2020[[#This Row],[Type of Service]],"PEST","Disinfe","Rodent","Bird","Termite")</f>
        <v>Disinfe</v>
      </c>
      <c r="G173">
        <v>18</v>
      </c>
      <c r="H173" s="4">
        <f>+CHOOSE(Tbl_2020[[#This Row],[Type of Service]],2000,3000,3500,4500,5000)*Tbl_2020[[#This Row],[No of Visits]]</f>
        <v>54000</v>
      </c>
    </row>
    <row r="174" spans="2:8" x14ac:dyDescent="0.3">
      <c r="B174" t="s">
        <v>183</v>
      </c>
      <c r="C174" t="s">
        <v>843</v>
      </c>
      <c r="D174" t="s">
        <v>8</v>
      </c>
      <c r="E174">
        <v>4</v>
      </c>
      <c r="F174" t="str">
        <f>+CHOOSE(Tbl_2020[[#This Row],[Type of Service]],"PEST","Disinfe","Rodent","Bird","Termite")</f>
        <v>Bird</v>
      </c>
      <c r="G174">
        <v>25</v>
      </c>
      <c r="H174" s="4">
        <f>+CHOOSE(Tbl_2020[[#This Row],[Type of Service]],2000,3000,3500,4500,5000)*Tbl_2020[[#This Row],[No of Visits]]</f>
        <v>112500</v>
      </c>
    </row>
    <row r="175" spans="2:8" x14ac:dyDescent="0.3">
      <c r="B175" t="s">
        <v>184</v>
      </c>
      <c r="C175" t="s">
        <v>844</v>
      </c>
      <c r="D175" t="s">
        <v>10</v>
      </c>
      <c r="E175">
        <v>2</v>
      </c>
      <c r="F175" t="str">
        <f>+CHOOSE(Tbl_2020[[#This Row],[Type of Service]],"PEST","Disinfe","Rodent","Bird","Termite")</f>
        <v>Disinfe</v>
      </c>
      <c r="G175">
        <v>11</v>
      </c>
      <c r="H175" s="4">
        <f>+CHOOSE(Tbl_2020[[#This Row],[Type of Service]],2000,3000,3500,4500,5000)*Tbl_2020[[#This Row],[No of Visits]]</f>
        <v>33000</v>
      </c>
    </row>
    <row r="176" spans="2:8" x14ac:dyDescent="0.3">
      <c r="B176" t="s">
        <v>185</v>
      </c>
      <c r="C176" t="s">
        <v>845</v>
      </c>
      <c r="D176" t="s">
        <v>12</v>
      </c>
      <c r="E176">
        <v>3</v>
      </c>
      <c r="F176" t="str">
        <f>+CHOOSE(Tbl_2020[[#This Row],[Type of Service]],"PEST","Disinfe","Rodent","Bird","Termite")</f>
        <v>Rodent</v>
      </c>
      <c r="G176">
        <v>22</v>
      </c>
      <c r="H176" s="4">
        <f>+CHOOSE(Tbl_2020[[#This Row],[Type of Service]],2000,3000,3500,4500,5000)*Tbl_2020[[#This Row],[No of Visits]]</f>
        <v>77000</v>
      </c>
    </row>
    <row r="177" spans="2:8" x14ac:dyDescent="0.3">
      <c r="B177" t="s">
        <v>186</v>
      </c>
      <c r="C177" t="s">
        <v>846</v>
      </c>
      <c r="D177" t="s">
        <v>14</v>
      </c>
      <c r="E177">
        <v>2</v>
      </c>
      <c r="F177" t="str">
        <f>+CHOOSE(Tbl_2020[[#This Row],[Type of Service]],"PEST","Disinfe","Rodent","Bird","Termite")</f>
        <v>Disinfe</v>
      </c>
      <c r="G177">
        <v>2</v>
      </c>
      <c r="H177" s="4">
        <f>+CHOOSE(Tbl_2020[[#This Row],[Type of Service]],2000,3000,3500,4500,5000)*Tbl_2020[[#This Row],[No of Visits]]</f>
        <v>6000</v>
      </c>
    </row>
    <row r="178" spans="2:8" x14ac:dyDescent="0.3">
      <c r="B178" t="s">
        <v>187</v>
      </c>
      <c r="C178" t="s">
        <v>847</v>
      </c>
      <c r="D178" t="s">
        <v>16</v>
      </c>
      <c r="E178">
        <v>3</v>
      </c>
      <c r="F178" t="str">
        <f>+CHOOSE(Tbl_2020[[#This Row],[Type of Service]],"PEST","Disinfe","Rodent","Bird","Termite")</f>
        <v>Rodent</v>
      </c>
      <c r="G178">
        <v>21</v>
      </c>
      <c r="H178" s="4">
        <f>+CHOOSE(Tbl_2020[[#This Row],[Type of Service]],2000,3000,3500,4500,5000)*Tbl_2020[[#This Row],[No of Visits]]</f>
        <v>73500</v>
      </c>
    </row>
    <row r="179" spans="2:8" x14ac:dyDescent="0.3">
      <c r="B179" t="s">
        <v>188</v>
      </c>
      <c r="C179" t="s">
        <v>848</v>
      </c>
      <c r="D179" t="s">
        <v>4</v>
      </c>
      <c r="E179">
        <v>1</v>
      </c>
      <c r="F179" t="str">
        <f>+CHOOSE(Tbl_2020[[#This Row],[Type of Service]],"PEST","Disinfe","Rodent","Bird","Termite")</f>
        <v>PEST</v>
      </c>
      <c r="G179">
        <v>16</v>
      </c>
      <c r="H179" s="4">
        <f>+CHOOSE(Tbl_2020[[#This Row],[Type of Service]],2000,3000,3500,4500,5000)*Tbl_2020[[#This Row],[No of Visits]]</f>
        <v>32000</v>
      </c>
    </row>
    <row r="180" spans="2:8" x14ac:dyDescent="0.3">
      <c r="B180" t="s">
        <v>189</v>
      </c>
      <c r="C180" t="s">
        <v>849</v>
      </c>
      <c r="D180" t="s">
        <v>6</v>
      </c>
      <c r="E180">
        <v>3</v>
      </c>
      <c r="F180" t="str">
        <f>+CHOOSE(Tbl_2020[[#This Row],[Type of Service]],"PEST","Disinfe","Rodent","Bird","Termite")</f>
        <v>Rodent</v>
      </c>
      <c r="G180">
        <v>14</v>
      </c>
      <c r="H180" s="4">
        <f>+CHOOSE(Tbl_2020[[#This Row],[Type of Service]],2000,3000,3500,4500,5000)*Tbl_2020[[#This Row],[No of Visits]]</f>
        <v>49000</v>
      </c>
    </row>
    <row r="181" spans="2:8" x14ac:dyDescent="0.3">
      <c r="B181" t="s">
        <v>190</v>
      </c>
      <c r="C181" t="s">
        <v>850</v>
      </c>
      <c r="D181" t="s">
        <v>8</v>
      </c>
      <c r="E181">
        <v>3</v>
      </c>
      <c r="F181" t="str">
        <f>+CHOOSE(Tbl_2020[[#This Row],[Type of Service]],"PEST","Disinfe","Rodent","Bird","Termite")</f>
        <v>Rodent</v>
      </c>
      <c r="G181">
        <v>22</v>
      </c>
      <c r="H181" s="4">
        <f>+CHOOSE(Tbl_2020[[#This Row],[Type of Service]],2000,3000,3500,4500,5000)*Tbl_2020[[#This Row],[No of Visits]]</f>
        <v>77000</v>
      </c>
    </row>
    <row r="182" spans="2:8" x14ac:dyDescent="0.3">
      <c r="B182" t="s">
        <v>191</v>
      </c>
      <c r="C182" t="s">
        <v>851</v>
      </c>
      <c r="D182" t="s">
        <v>10</v>
      </c>
      <c r="E182">
        <v>2</v>
      </c>
      <c r="F182" t="str">
        <f>+CHOOSE(Tbl_2020[[#This Row],[Type of Service]],"PEST","Disinfe","Rodent","Bird","Termite")</f>
        <v>Disinfe</v>
      </c>
      <c r="G182">
        <v>22</v>
      </c>
      <c r="H182" s="4">
        <f>+CHOOSE(Tbl_2020[[#This Row],[Type of Service]],2000,3000,3500,4500,5000)*Tbl_2020[[#This Row],[No of Visits]]</f>
        <v>66000</v>
      </c>
    </row>
    <row r="183" spans="2:8" x14ac:dyDescent="0.3">
      <c r="B183" t="s">
        <v>192</v>
      </c>
      <c r="C183" t="s">
        <v>852</v>
      </c>
      <c r="D183" t="s">
        <v>12</v>
      </c>
      <c r="E183">
        <v>1</v>
      </c>
      <c r="F183" t="str">
        <f>+CHOOSE(Tbl_2020[[#This Row],[Type of Service]],"PEST","Disinfe","Rodent","Bird","Termite")</f>
        <v>PEST</v>
      </c>
      <c r="G183">
        <v>4</v>
      </c>
      <c r="H183" s="4">
        <f>+CHOOSE(Tbl_2020[[#This Row],[Type of Service]],2000,3000,3500,4500,5000)*Tbl_2020[[#This Row],[No of Visits]]</f>
        <v>8000</v>
      </c>
    </row>
    <row r="184" spans="2:8" x14ac:dyDescent="0.3">
      <c r="B184" t="s">
        <v>193</v>
      </c>
      <c r="C184" t="s">
        <v>853</v>
      </c>
      <c r="D184" t="s">
        <v>14</v>
      </c>
      <c r="E184">
        <v>4</v>
      </c>
      <c r="F184" t="str">
        <f>+CHOOSE(Tbl_2020[[#This Row],[Type of Service]],"PEST","Disinfe","Rodent","Bird","Termite")</f>
        <v>Bird</v>
      </c>
      <c r="G184">
        <v>7</v>
      </c>
      <c r="H184" s="4">
        <f>+CHOOSE(Tbl_2020[[#This Row],[Type of Service]],2000,3000,3500,4500,5000)*Tbl_2020[[#This Row],[No of Visits]]</f>
        <v>31500</v>
      </c>
    </row>
    <row r="185" spans="2:8" x14ac:dyDescent="0.3">
      <c r="B185" t="s">
        <v>194</v>
      </c>
      <c r="C185" t="s">
        <v>854</v>
      </c>
      <c r="D185" t="s">
        <v>16</v>
      </c>
      <c r="E185">
        <v>1</v>
      </c>
      <c r="F185" t="str">
        <f>+CHOOSE(Tbl_2020[[#This Row],[Type of Service]],"PEST","Disinfe","Rodent","Bird","Termite")</f>
        <v>PEST</v>
      </c>
      <c r="G185">
        <v>28</v>
      </c>
      <c r="H185" s="4">
        <f>+CHOOSE(Tbl_2020[[#This Row],[Type of Service]],2000,3000,3500,4500,5000)*Tbl_2020[[#This Row],[No of Visits]]</f>
        <v>56000</v>
      </c>
    </row>
    <row r="186" spans="2:8" x14ac:dyDescent="0.3">
      <c r="B186" t="s">
        <v>195</v>
      </c>
      <c r="C186" t="s">
        <v>855</v>
      </c>
      <c r="D186" t="s">
        <v>4</v>
      </c>
      <c r="E186">
        <v>1</v>
      </c>
      <c r="F186" t="str">
        <f>+CHOOSE(Tbl_2020[[#This Row],[Type of Service]],"PEST","Disinfe","Rodent","Bird","Termite")</f>
        <v>PEST</v>
      </c>
      <c r="G186">
        <v>22</v>
      </c>
      <c r="H186" s="4">
        <f>+CHOOSE(Tbl_2020[[#This Row],[Type of Service]],2000,3000,3500,4500,5000)*Tbl_2020[[#This Row],[No of Visits]]</f>
        <v>44000</v>
      </c>
    </row>
    <row r="187" spans="2:8" x14ac:dyDescent="0.3">
      <c r="B187" t="s">
        <v>196</v>
      </c>
      <c r="C187" t="s">
        <v>856</v>
      </c>
      <c r="D187" t="s">
        <v>6</v>
      </c>
      <c r="E187">
        <v>3</v>
      </c>
      <c r="F187" t="str">
        <f>+CHOOSE(Tbl_2020[[#This Row],[Type of Service]],"PEST","Disinfe","Rodent","Bird","Termite")</f>
        <v>Rodent</v>
      </c>
      <c r="G187">
        <v>16</v>
      </c>
      <c r="H187" s="4">
        <f>+CHOOSE(Tbl_2020[[#This Row],[Type of Service]],2000,3000,3500,4500,5000)*Tbl_2020[[#This Row],[No of Visits]]</f>
        <v>56000</v>
      </c>
    </row>
    <row r="188" spans="2:8" x14ac:dyDescent="0.3">
      <c r="B188" t="s">
        <v>197</v>
      </c>
      <c r="C188" t="s">
        <v>857</v>
      </c>
      <c r="D188" t="s">
        <v>8</v>
      </c>
      <c r="E188">
        <v>4</v>
      </c>
      <c r="F188" t="str">
        <f>+CHOOSE(Tbl_2020[[#This Row],[Type of Service]],"PEST","Disinfe","Rodent","Bird","Termite")</f>
        <v>Bird</v>
      </c>
      <c r="G188">
        <v>24</v>
      </c>
      <c r="H188" s="4">
        <f>+CHOOSE(Tbl_2020[[#This Row],[Type of Service]],2000,3000,3500,4500,5000)*Tbl_2020[[#This Row],[No of Visits]]</f>
        <v>108000</v>
      </c>
    </row>
    <row r="189" spans="2:8" x14ac:dyDescent="0.3">
      <c r="B189" t="s">
        <v>198</v>
      </c>
      <c r="C189" t="s">
        <v>858</v>
      </c>
      <c r="D189" t="s">
        <v>10</v>
      </c>
      <c r="E189">
        <v>3</v>
      </c>
      <c r="F189" t="str">
        <f>+CHOOSE(Tbl_2020[[#This Row],[Type of Service]],"PEST","Disinfe","Rodent","Bird","Termite")</f>
        <v>Rodent</v>
      </c>
      <c r="G189">
        <v>14</v>
      </c>
      <c r="H189" s="4">
        <f>+CHOOSE(Tbl_2020[[#This Row],[Type of Service]],2000,3000,3500,4500,5000)*Tbl_2020[[#This Row],[No of Visits]]</f>
        <v>49000</v>
      </c>
    </row>
    <row r="190" spans="2:8" x14ac:dyDescent="0.3">
      <c r="B190" t="s">
        <v>199</v>
      </c>
      <c r="C190" t="s">
        <v>859</v>
      </c>
      <c r="D190" t="s">
        <v>12</v>
      </c>
      <c r="E190">
        <v>2</v>
      </c>
      <c r="F190" t="str">
        <f>+CHOOSE(Tbl_2020[[#This Row],[Type of Service]],"PEST","Disinfe","Rodent","Bird","Termite")</f>
        <v>Disinfe</v>
      </c>
      <c r="G190">
        <v>11</v>
      </c>
      <c r="H190" s="4">
        <f>+CHOOSE(Tbl_2020[[#This Row],[Type of Service]],2000,3000,3500,4500,5000)*Tbl_2020[[#This Row],[No of Visits]]</f>
        <v>33000</v>
      </c>
    </row>
    <row r="191" spans="2:8" x14ac:dyDescent="0.3">
      <c r="B191" t="s">
        <v>200</v>
      </c>
      <c r="C191" t="s">
        <v>860</v>
      </c>
      <c r="D191" t="s">
        <v>14</v>
      </c>
      <c r="E191">
        <v>3</v>
      </c>
      <c r="F191" t="str">
        <f>+CHOOSE(Tbl_2020[[#This Row],[Type of Service]],"PEST","Disinfe","Rodent","Bird","Termite")</f>
        <v>Rodent</v>
      </c>
      <c r="G191">
        <v>11</v>
      </c>
      <c r="H191" s="4">
        <f>+CHOOSE(Tbl_2020[[#This Row],[Type of Service]],2000,3000,3500,4500,5000)*Tbl_2020[[#This Row],[No of Visits]]</f>
        <v>38500</v>
      </c>
    </row>
    <row r="192" spans="2:8" x14ac:dyDescent="0.3">
      <c r="B192" t="s">
        <v>201</v>
      </c>
      <c r="C192" t="s">
        <v>861</v>
      </c>
      <c r="D192" t="s">
        <v>16</v>
      </c>
      <c r="E192">
        <v>4</v>
      </c>
      <c r="F192" t="str">
        <f>+CHOOSE(Tbl_2020[[#This Row],[Type of Service]],"PEST","Disinfe","Rodent","Bird","Termite")</f>
        <v>Bird</v>
      </c>
      <c r="G192">
        <v>14</v>
      </c>
      <c r="H192" s="4">
        <f>+CHOOSE(Tbl_2020[[#This Row],[Type of Service]],2000,3000,3500,4500,5000)*Tbl_2020[[#This Row],[No of Visits]]</f>
        <v>63000</v>
      </c>
    </row>
    <row r="193" spans="2:8" x14ac:dyDescent="0.3">
      <c r="B193" t="s">
        <v>202</v>
      </c>
      <c r="C193" t="s">
        <v>862</v>
      </c>
      <c r="D193" t="s">
        <v>4</v>
      </c>
      <c r="E193">
        <v>3</v>
      </c>
      <c r="F193" t="str">
        <f>+CHOOSE(Tbl_2020[[#This Row],[Type of Service]],"PEST","Disinfe","Rodent","Bird","Termite")</f>
        <v>Rodent</v>
      </c>
      <c r="G193">
        <v>27</v>
      </c>
      <c r="H193" s="4">
        <f>+CHOOSE(Tbl_2020[[#This Row],[Type of Service]],2000,3000,3500,4500,5000)*Tbl_2020[[#This Row],[No of Visits]]</f>
        <v>94500</v>
      </c>
    </row>
    <row r="194" spans="2:8" x14ac:dyDescent="0.3">
      <c r="B194" t="s">
        <v>203</v>
      </c>
      <c r="C194" t="s">
        <v>863</v>
      </c>
      <c r="D194" t="s">
        <v>6</v>
      </c>
      <c r="E194">
        <v>2</v>
      </c>
      <c r="F194" t="str">
        <f>+CHOOSE(Tbl_2020[[#This Row],[Type of Service]],"PEST","Disinfe","Rodent","Bird","Termite")</f>
        <v>Disinfe</v>
      </c>
      <c r="G194">
        <v>17</v>
      </c>
      <c r="H194" s="4">
        <f>+CHOOSE(Tbl_2020[[#This Row],[Type of Service]],2000,3000,3500,4500,5000)*Tbl_2020[[#This Row],[No of Visits]]</f>
        <v>51000</v>
      </c>
    </row>
    <row r="195" spans="2:8" x14ac:dyDescent="0.3">
      <c r="B195" t="s">
        <v>204</v>
      </c>
      <c r="C195" t="s">
        <v>864</v>
      </c>
      <c r="D195" t="s">
        <v>8</v>
      </c>
      <c r="E195">
        <v>1</v>
      </c>
      <c r="F195" t="str">
        <f>+CHOOSE(Tbl_2020[[#This Row],[Type of Service]],"PEST","Disinfe","Rodent","Bird","Termite")</f>
        <v>PEST</v>
      </c>
      <c r="G195">
        <v>12</v>
      </c>
      <c r="H195" s="4">
        <f>+CHOOSE(Tbl_2020[[#This Row],[Type of Service]],2000,3000,3500,4500,5000)*Tbl_2020[[#This Row],[No of Visits]]</f>
        <v>24000</v>
      </c>
    </row>
    <row r="196" spans="2:8" x14ac:dyDescent="0.3">
      <c r="B196" t="s">
        <v>205</v>
      </c>
      <c r="C196" t="s">
        <v>865</v>
      </c>
      <c r="D196" t="s">
        <v>10</v>
      </c>
      <c r="E196">
        <v>1</v>
      </c>
      <c r="F196" t="str">
        <f>+CHOOSE(Tbl_2020[[#This Row],[Type of Service]],"PEST","Disinfe","Rodent","Bird","Termite")</f>
        <v>PEST</v>
      </c>
      <c r="G196">
        <v>5</v>
      </c>
      <c r="H196" s="4">
        <f>+CHOOSE(Tbl_2020[[#This Row],[Type of Service]],2000,3000,3500,4500,5000)*Tbl_2020[[#This Row],[No of Visits]]</f>
        <v>10000</v>
      </c>
    </row>
    <row r="197" spans="2:8" x14ac:dyDescent="0.3">
      <c r="B197" t="s">
        <v>206</v>
      </c>
      <c r="C197" t="s">
        <v>207</v>
      </c>
      <c r="D197" t="s">
        <v>12</v>
      </c>
      <c r="E197">
        <v>3</v>
      </c>
      <c r="F197" t="str">
        <f>+CHOOSE(Tbl_2020[[#This Row],[Type of Service]],"PEST","Disinfe","Rodent","Bird","Termite")</f>
        <v>Rodent</v>
      </c>
      <c r="G197">
        <v>11</v>
      </c>
      <c r="H197" s="4">
        <f>+CHOOSE(Tbl_2020[[#This Row],[Type of Service]],2000,3000,3500,4500,5000)*Tbl_2020[[#This Row],[No of Visits]]</f>
        <v>38500</v>
      </c>
    </row>
    <row r="198" spans="2:8" x14ac:dyDescent="0.3">
      <c r="B198" t="s">
        <v>208</v>
      </c>
      <c r="C198" t="s">
        <v>866</v>
      </c>
      <c r="D198" t="s">
        <v>14</v>
      </c>
      <c r="E198">
        <v>2</v>
      </c>
      <c r="F198" t="str">
        <f>+CHOOSE(Tbl_2020[[#This Row],[Type of Service]],"PEST","Disinfe","Rodent","Bird","Termite")</f>
        <v>Disinfe</v>
      </c>
      <c r="G198">
        <v>22</v>
      </c>
      <c r="H198" s="4">
        <f>+CHOOSE(Tbl_2020[[#This Row],[Type of Service]],2000,3000,3500,4500,5000)*Tbl_2020[[#This Row],[No of Visits]]</f>
        <v>66000</v>
      </c>
    </row>
    <row r="199" spans="2:8" x14ac:dyDescent="0.3">
      <c r="B199" t="s">
        <v>209</v>
      </c>
      <c r="C199" t="s">
        <v>867</v>
      </c>
      <c r="D199" t="s">
        <v>16</v>
      </c>
      <c r="E199">
        <v>3</v>
      </c>
      <c r="F199" t="str">
        <f>+CHOOSE(Tbl_2020[[#This Row],[Type of Service]],"PEST","Disinfe","Rodent","Bird","Termite")</f>
        <v>Rodent</v>
      </c>
      <c r="G199">
        <v>28</v>
      </c>
      <c r="H199" s="4">
        <f>+CHOOSE(Tbl_2020[[#This Row],[Type of Service]],2000,3000,3500,4500,5000)*Tbl_2020[[#This Row],[No of Visits]]</f>
        <v>98000</v>
      </c>
    </row>
    <row r="200" spans="2:8" x14ac:dyDescent="0.3">
      <c r="B200" t="s">
        <v>210</v>
      </c>
      <c r="C200" t="s">
        <v>868</v>
      </c>
      <c r="D200" t="s">
        <v>4</v>
      </c>
      <c r="E200">
        <v>4</v>
      </c>
      <c r="F200" t="str">
        <f>+CHOOSE(Tbl_2020[[#This Row],[Type of Service]],"PEST","Disinfe","Rodent","Bird","Termite")</f>
        <v>Bird</v>
      </c>
      <c r="G200">
        <v>1</v>
      </c>
      <c r="H200" s="4">
        <f>+CHOOSE(Tbl_2020[[#This Row],[Type of Service]],2000,3000,3500,4500,5000)*Tbl_2020[[#This Row],[No of Visits]]</f>
        <v>4500</v>
      </c>
    </row>
    <row r="201" spans="2:8" x14ac:dyDescent="0.3">
      <c r="B201" t="s">
        <v>211</v>
      </c>
      <c r="C201" t="s">
        <v>727</v>
      </c>
      <c r="D201" t="s">
        <v>6</v>
      </c>
      <c r="E201">
        <v>2</v>
      </c>
      <c r="F201" t="str">
        <f>+CHOOSE(Tbl_2020[[#This Row],[Type of Service]],"PEST","Disinfe","Rodent","Bird","Termite")</f>
        <v>Disinfe</v>
      </c>
      <c r="G201">
        <v>27</v>
      </c>
      <c r="H201" s="4">
        <f>+CHOOSE(Tbl_2020[[#This Row],[Type of Service]],2000,3000,3500,4500,5000)*Tbl_2020[[#This Row],[No of Visits]]</f>
        <v>81000</v>
      </c>
    </row>
    <row r="202" spans="2:8" x14ac:dyDescent="0.3">
      <c r="B202" t="s">
        <v>212</v>
      </c>
      <c r="C202" t="s">
        <v>869</v>
      </c>
      <c r="D202" t="s">
        <v>8</v>
      </c>
      <c r="E202">
        <v>3</v>
      </c>
      <c r="F202" t="str">
        <f>+CHOOSE(Tbl_2020[[#This Row],[Type of Service]],"PEST","Disinfe","Rodent","Bird","Termite")</f>
        <v>Rodent</v>
      </c>
      <c r="G202">
        <v>1</v>
      </c>
      <c r="H202" s="4">
        <f>+CHOOSE(Tbl_2020[[#This Row],[Type of Service]],2000,3000,3500,4500,5000)*Tbl_2020[[#This Row],[No of Visits]]</f>
        <v>3500</v>
      </c>
    </row>
    <row r="203" spans="2:8" x14ac:dyDescent="0.3">
      <c r="B203" t="s">
        <v>213</v>
      </c>
      <c r="C203" t="s">
        <v>870</v>
      </c>
      <c r="D203" t="s">
        <v>10</v>
      </c>
      <c r="E203">
        <v>2</v>
      </c>
      <c r="F203" t="str">
        <f>+CHOOSE(Tbl_2020[[#This Row],[Type of Service]],"PEST","Disinfe","Rodent","Bird","Termite")</f>
        <v>Disinfe</v>
      </c>
      <c r="G203">
        <v>4</v>
      </c>
      <c r="H203" s="4">
        <f>+CHOOSE(Tbl_2020[[#This Row],[Type of Service]],2000,3000,3500,4500,5000)*Tbl_2020[[#This Row],[No of Visits]]</f>
        <v>12000</v>
      </c>
    </row>
    <row r="204" spans="2:8" x14ac:dyDescent="0.3">
      <c r="B204" t="s">
        <v>214</v>
      </c>
      <c r="C204" t="s">
        <v>827</v>
      </c>
      <c r="D204" t="s">
        <v>12</v>
      </c>
      <c r="E204">
        <v>1</v>
      </c>
      <c r="F204" t="str">
        <f>+CHOOSE(Tbl_2020[[#This Row],[Type of Service]],"PEST","Disinfe","Rodent","Bird","Termite")</f>
        <v>PEST</v>
      </c>
      <c r="G204">
        <v>11</v>
      </c>
      <c r="H204" s="4">
        <f>+CHOOSE(Tbl_2020[[#This Row],[Type of Service]],2000,3000,3500,4500,5000)*Tbl_2020[[#This Row],[No of Visits]]</f>
        <v>22000</v>
      </c>
    </row>
    <row r="205" spans="2:8" x14ac:dyDescent="0.3">
      <c r="B205" t="s">
        <v>215</v>
      </c>
      <c r="C205" t="s">
        <v>871</v>
      </c>
      <c r="D205" t="s">
        <v>14</v>
      </c>
      <c r="E205">
        <v>3</v>
      </c>
      <c r="F205" t="str">
        <f>+CHOOSE(Tbl_2020[[#This Row],[Type of Service]],"PEST","Disinfe","Rodent","Bird","Termite")</f>
        <v>Rodent</v>
      </c>
      <c r="G205">
        <v>18</v>
      </c>
      <c r="H205" s="4">
        <f>+CHOOSE(Tbl_2020[[#This Row],[Type of Service]],2000,3000,3500,4500,5000)*Tbl_2020[[#This Row],[No of Visits]]</f>
        <v>63000</v>
      </c>
    </row>
    <row r="206" spans="2:8" x14ac:dyDescent="0.3">
      <c r="B206" t="s">
        <v>216</v>
      </c>
      <c r="C206" t="s">
        <v>872</v>
      </c>
      <c r="D206" t="s">
        <v>16</v>
      </c>
      <c r="E206">
        <v>3</v>
      </c>
      <c r="F206" t="str">
        <f>+CHOOSE(Tbl_2020[[#This Row],[Type of Service]],"PEST","Disinfe","Rodent","Bird","Termite")</f>
        <v>Rodent</v>
      </c>
      <c r="G206">
        <v>2</v>
      </c>
      <c r="H206" s="4">
        <f>+CHOOSE(Tbl_2020[[#This Row],[Type of Service]],2000,3000,3500,4500,5000)*Tbl_2020[[#This Row],[No of Visits]]</f>
        <v>7000</v>
      </c>
    </row>
    <row r="207" spans="2:8" x14ac:dyDescent="0.3">
      <c r="B207" t="s">
        <v>217</v>
      </c>
      <c r="C207" t="s">
        <v>873</v>
      </c>
      <c r="D207" t="s">
        <v>4</v>
      </c>
      <c r="E207">
        <v>4</v>
      </c>
      <c r="F207" t="str">
        <f>+CHOOSE(Tbl_2020[[#This Row],[Type of Service]],"PEST","Disinfe","Rodent","Bird","Termite")</f>
        <v>Bird</v>
      </c>
      <c r="G207">
        <v>20</v>
      </c>
      <c r="H207" s="4">
        <f>+CHOOSE(Tbl_2020[[#This Row],[Type of Service]],2000,3000,3500,4500,5000)*Tbl_2020[[#This Row],[No of Visits]]</f>
        <v>90000</v>
      </c>
    </row>
    <row r="208" spans="2:8" x14ac:dyDescent="0.3">
      <c r="B208" t="s">
        <v>218</v>
      </c>
      <c r="C208" t="s">
        <v>874</v>
      </c>
      <c r="D208" t="s">
        <v>6</v>
      </c>
      <c r="E208">
        <v>4</v>
      </c>
      <c r="F208" t="str">
        <f>+CHOOSE(Tbl_2020[[#This Row],[Type of Service]],"PEST","Disinfe","Rodent","Bird","Termite")</f>
        <v>Bird</v>
      </c>
      <c r="G208">
        <v>2</v>
      </c>
      <c r="H208" s="4">
        <f>+CHOOSE(Tbl_2020[[#This Row],[Type of Service]],2000,3000,3500,4500,5000)*Tbl_2020[[#This Row],[No of Visits]]</f>
        <v>9000</v>
      </c>
    </row>
    <row r="209" spans="2:8" x14ac:dyDescent="0.3">
      <c r="B209" t="s">
        <v>219</v>
      </c>
      <c r="C209" t="s">
        <v>875</v>
      </c>
      <c r="D209" t="s">
        <v>8</v>
      </c>
      <c r="E209">
        <v>1</v>
      </c>
      <c r="F209" t="str">
        <f>+CHOOSE(Tbl_2020[[#This Row],[Type of Service]],"PEST","Disinfe","Rodent","Bird","Termite")</f>
        <v>PEST</v>
      </c>
      <c r="G209">
        <v>20</v>
      </c>
      <c r="H209" s="4">
        <f>+CHOOSE(Tbl_2020[[#This Row],[Type of Service]],2000,3000,3500,4500,5000)*Tbl_2020[[#This Row],[No of Visits]]</f>
        <v>40000</v>
      </c>
    </row>
    <row r="210" spans="2:8" x14ac:dyDescent="0.3">
      <c r="B210" t="s">
        <v>220</v>
      </c>
      <c r="C210" t="s">
        <v>876</v>
      </c>
      <c r="D210" t="s">
        <v>10</v>
      </c>
      <c r="E210">
        <v>2</v>
      </c>
      <c r="F210" t="str">
        <f>+CHOOSE(Tbl_2020[[#This Row],[Type of Service]],"PEST","Disinfe","Rodent","Bird","Termite")</f>
        <v>Disinfe</v>
      </c>
      <c r="G210">
        <v>9</v>
      </c>
      <c r="H210" s="4">
        <f>+CHOOSE(Tbl_2020[[#This Row],[Type of Service]],2000,3000,3500,4500,5000)*Tbl_2020[[#This Row],[No of Visits]]</f>
        <v>27000</v>
      </c>
    </row>
    <row r="211" spans="2:8" x14ac:dyDescent="0.3">
      <c r="B211" t="s">
        <v>221</v>
      </c>
      <c r="C211" t="s">
        <v>877</v>
      </c>
      <c r="D211" t="s">
        <v>12</v>
      </c>
      <c r="E211">
        <v>1</v>
      </c>
      <c r="F211" t="str">
        <f>+CHOOSE(Tbl_2020[[#This Row],[Type of Service]],"PEST","Disinfe","Rodent","Bird","Termite")</f>
        <v>PEST</v>
      </c>
      <c r="G211">
        <v>12</v>
      </c>
      <c r="H211" s="4">
        <f>+CHOOSE(Tbl_2020[[#This Row],[Type of Service]],2000,3000,3500,4500,5000)*Tbl_2020[[#This Row],[No of Visits]]</f>
        <v>24000</v>
      </c>
    </row>
    <row r="212" spans="2:8" x14ac:dyDescent="0.3">
      <c r="B212" t="s">
        <v>222</v>
      </c>
      <c r="C212" t="s">
        <v>752</v>
      </c>
      <c r="D212" t="s">
        <v>14</v>
      </c>
      <c r="E212">
        <v>4</v>
      </c>
      <c r="F212" t="str">
        <f>+CHOOSE(Tbl_2020[[#This Row],[Type of Service]],"PEST","Disinfe","Rodent","Bird","Termite")</f>
        <v>Bird</v>
      </c>
      <c r="G212">
        <v>1</v>
      </c>
      <c r="H212" s="4">
        <f>+CHOOSE(Tbl_2020[[#This Row],[Type of Service]],2000,3000,3500,4500,5000)*Tbl_2020[[#This Row],[No of Visits]]</f>
        <v>4500</v>
      </c>
    </row>
    <row r="213" spans="2:8" x14ac:dyDescent="0.3">
      <c r="B213" t="s">
        <v>223</v>
      </c>
      <c r="C213" t="s">
        <v>878</v>
      </c>
      <c r="D213" t="s">
        <v>16</v>
      </c>
      <c r="E213">
        <v>3</v>
      </c>
      <c r="F213" t="str">
        <f>+CHOOSE(Tbl_2020[[#This Row],[Type of Service]],"PEST","Disinfe","Rodent","Bird","Termite")</f>
        <v>Rodent</v>
      </c>
      <c r="G213">
        <v>17</v>
      </c>
      <c r="H213" s="4">
        <f>+CHOOSE(Tbl_2020[[#This Row],[Type of Service]],2000,3000,3500,4500,5000)*Tbl_2020[[#This Row],[No of Visits]]</f>
        <v>59500</v>
      </c>
    </row>
    <row r="214" spans="2:8" x14ac:dyDescent="0.3">
      <c r="B214" t="s">
        <v>224</v>
      </c>
      <c r="C214" t="s">
        <v>879</v>
      </c>
      <c r="D214" t="s">
        <v>4</v>
      </c>
      <c r="E214">
        <v>4</v>
      </c>
      <c r="F214" t="str">
        <f>+CHOOSE(Tbl_2020[[#This Row],[Type of Service]],"PEST","Disinfe","Rodent","Bird","Termite")</f>
        <v>Bird</v>
      </c>
      <c r="G214">
        <v>1</v>
      </c>
      <c r="H214" s="4">
        <f>+CHOOSE(Tbl_2020[[#This Row],[Type of Service]],2000,3000,3500,4500,5000)*Tbl_2020[[#This Row],[No of Visits]]</f>
        <v>4500</v>
      </c>
    </row>
    <row r="215" spans="2:8" x14ac:dyDescent="0.3">
      <c r="B215" t="s">
        <v>225</v>
      </c>
      <c r="C215" t="s">
        <v>880</v>
      </c>
      <c r="D215" t="s">
        <v>6</v>
      </c>
      <c r="E215">
        <v>3</v>
      </c>
      <c r="F215" t="str">
        <f>+CHOOSE(Tbl_2020[[#This Row],[Type of Service]],"PEST","Disinfe","Rodent","Bird","Termite")</f>
        <v>Rodent</v>
      </c>
      <c r="G215">
        <v>10</v>
      </c>
      <c r="H215" s="4">
        <f>+CHOOSE(Tbl_2020[[#This Row],[Type of Service]],2000,3000,3500,4500,5000)*Tbl_2020[[#This Row],[No of Visits]]</f>
        <v>35000</v>
      </c>
    </row>
    <row r="216" spans="2:8" x14ac:dyDescent="0.3">
      <c r="B216" t="s">
        <v>226</v>
      </c>
      <c r="C216" t="s">
        <v>881</v>
      </c>
      <c r="D216" t="s">
        <v>8</v>
      </c>
      <c r="E216">
        <v>1</v>
      </c>
      <c r="F216" t="str">
        <f>+CHOOSE(Tbl_2020[[#This Row],[Type of Service]],"PEST","Disinfe","Rodent","Bird","Termite")</f>
        <v>PEST</v>
      </c>
      <c r="G216">
        <v>20</v>
      </c>
      <c r="H216" s="4">
        <f>+CHOOSE(Tbl_2020[[#This Row],[Type of Service]],2000,3000,3500,4500,5000)*Tbl_2020[[#This Row],[No of Visits]]</f>
        <v>40000</v>
      </c>
    </row>
    <row r="217" spans="2:8" x14ac:dyDescent="0.3">
      <c r="B217" t="s">
        <v>227</v>
      </c>
      <c r="C217" t="s">
        <v>882</v>
      </c>
      <c r="D217" t="s">
        <v>10</v>
      </c>
      <c r="E217">
        <v>3</v>
      </c>
      <c r="F217" t="str">
        <f>+CHOOSE(Tbl_2020[[#This Row],[Type of Service]],"PEST","Disinfe","Rodent","Bird","Termite")</f>
        <v>Rodent</v>
      </c>
      <c r="G217">
        <v>20</v>
      </c>
      <c r="H217" s="4">
        <f>+CHOOSE(Tbl_2020[[#This Row],[Type of Service]],2000,3000,3500,4500,5000)*Tbl_2020[[#This Row],[No of Visits]]</f>
        <v>70000</v>
      </c>
    </row>
    <row r="218" spans="2:8" x14ac:dyDescent="0.3">
      <c r="B218" t="s">
        <v>228</v>
      </c>
      <c r="C218" t="s">
        <v>883</v>
      </c>
      <c r="D218" t="s">
        <v>12</v>
      </c>
      <c r="E218">
        <v>4</v>
      </c>
      <c r="F218" t="str">
        <f>+CHOOSE(Tbl_2020[[#This Row],[Type of Service]],"PEST","Disinfe","Rodent","Bird","Termite")</f>
        <v>Bird</v>
      </c>
      <c r="G218">
        <v>9</v>
      </c>
      <c r="H218" s="4">
        <f>+CHOOSE(Tbl_2020[[#This Row],[Type of Service]],2000,3000,3500,4500,5000)*Tbl_2020[[#This Row],[No of Visits]]</f>
        <v>40500</v>
      </c>
    </row>
    <row r="219" spans="2:8" x14ac:dyDescent="0.3">
      <c r="B219" t="s">
        <v>229</v>
      </c>
      <c r="C219" t="s">
        <v>884</v>
      </c>
      <c r="D219" t="s">
        <v>14</v>
      </c>
      <c r="E219">
        <v>2</v>
      </c>
      <c r="F219" t="str">
        <f>+CHOOSE(Tbl_2020[[#This Row],[Type of Service]],"PEST","Disinfe","Rodent","Bird","Termite")</f>
        <v>Disinfe</v>
      </c>
      <c r="G219">
        <v>19</v>
      </c>
      <c r="H219" s="4">
        <f>+CHOOSE(Tbl_2020[[#This Row],[Type of Service]],2000,3000,3500,4500,5000)*Tbl_2020[[#This Row],[No of Visits]]</f>
        <v>57000</v>
      </c>
    </row>
    <row r="220" spans="2:8" x14ac:dyDescent="0.3">
      <c r="B220" t="s">
        <v>230</v>
      </c>
      <c r="C220" t="s">
        <v>885</v>
      </c>
      <c r="D220" t="s">
        <v>16</v>
      </c>
      <c r="E220">
        <v>3</v>
      </c>
      <c r="F220" t="str">
        <f>+CHOOSE(Tbl_2020[[#This Row],[Type of Service]],"PEST","Disinfe","Rodent","Bird","Termite")</f>
        <v>Rodent</v>
      </c>
      <c r="G220">
        <v>22</v>
      </c>
      <c r="H220" s="4">
        <f>+CHOOSE(Tbl_2020[[#This Row],[Type of Service]],2000,3000,3500,4500,5000)*Tbl_2020[[#This Row],[No of Visits]]</f>
        <v>77000</v>
      </c>
    </row>
    <row r="221" spans="2:8" x14ac:dyDescent="0.3">
      <c r="B221" t="s">
        <v>231</v>
      </c>
      <c r="C221" t="s">
        <v>886</v>
      </c>
      <c r="D221" t="s">
        <v>4</v>
      </c>
      <c r="E221">
        <v>1</v>
      </c>
      <c r="F221" t="str">
        <f>+CHOOSE(Tbl_2020[[#This Row],[Type of Service]],"PEST","Disinfe","Rodent","Bird","Termite")</f>
        <v>PEST</v>
      </c>
      <c r="G221">
        <v>21</v>
      </c>
      <c r="H221" s="4">
        <f>+CHOOSE(Tbl_2020[[#This Row],[Type of Service]],2000,3000,3500,4500,5000)*Tbl_2020[[#This Row],[No of Visits]]</f>
        <v>42000</v>
      </c>
    </row>
    <row r="222" spans="2:8" x14ac:dyDescent="0.3">
      <c r="B222" t="s">
        <v>232</v>
      </c>
      <c r="C222" t="s">
        <v>887</v>
      </c>
      <c r="D222" t="s">
        <v>6</v>
      </c>
      <c r="E222">
        <v>4</v>
      </c>
      <c r="F222" t="str">
        <f>+CHOOSE(Tbl_2020[[#This Row],[Type of Service]],"PEST","Disinfe","Rodent","Bird","Termite")</f>
        <v>Bird</v>
      </c>
      <c r="G222">
        <v>19</v>
      </c>
      <c r="H222" s="4">
        <f>+CHOOSE(Tbl_2020[[#This Row],[Type of Service]],2000,3000,3500,4500,5000)*Tbl_2020[[#This Row],[No of Visits]]</f>
        <v>85500</v>
      </c>
    </row>
    <row r="223" spans="2:8" x14ac:dyDescent="0.3">
      <c r="B223" t="s">
        <v>233</v>
      </c>
      <c r="C223" t="s">
        <v>888</v>
      </c>
      <c r="D223" t="s">
        <v>8</v>
      </c>
      <c r="E223">
        <v>4</v>
      </c>
      <c r="F223" t="str">
        <f>+CHOOSE(Tbl_2020[[#This Row],[Type of Service]],"PEST","Disinfe","Rodent","Bird","Termite")</f>
        <v>Bird</v>
      </c>
      <c r="G223">
        <v>29</v>
      </c>
      <c r="H223" s="4">
        <f>+CHOOSE(Tbl_2020[[#This Row],[Type of Service]],2000,3000,3500,4500,5000)*Tbl_2020[[#This Row],[No of Visits]]</f>
        <v>130500</v>
      </c>
    </row>
    <row r="224" spans="2:8" x14ac:dyDescent="0.3">
      <c r="B224" t="s">
        <v>234</v>
      </c>
      <c r="C224" t="s">
        <v>889</v>
      </c>
      <c r="D224" t="s">
        <v>10</v>
      </c>
      <c r="E224">
        <v>4</v>
      </c>
      <c r="F224" t="str">
        <f>+CHOOSE(Tbl_2020[[#This Row],[Type of Service]],"PEST","Disinfe","Rodent","Bird","Termite")</f>
        <v>Bird</v>
      </c>
      <c r="G224">
        <v>20</v>
      </c>
      <c r="H224" s="4">
        <f>+CHOOSE(Tbl_2020[[#This Row],[Type of Service]],2000,3000,3500,4500,5000)*Tbl_2020[[#This Row],[No of Visits]]</f>
        <v>90000</v>
      </c>
    </row>
    <row r="225" spans="2:8" x14ac:dyDescent="0.3">
      <c r="B225" t="s">
        <v>235</v>
      </c>
      <c r="C225" t="s">
        <v>890</v>
      </c>
      <c r="D225" t="s">
        <v>12</v>
      </c>
      <c r="E225">
        <v>2</v>
      </c>
      <c r="F225" t="str">
        <f>+CHOOSE(Tbl_2020[[#This Row],[Type of Service]],"PEST","Disinfe","Rodent","Bird","Termite")</f>
        <v>Disinfe</v>
      </c>
      <c r="G225">
        <v>29</v>
      </c>
      <c r="H225" s="4">
        <f>+CHOOSE(Tbl_2020[[#This Row],[Type of Service]],2000,3000,3500,4500,5000)*Tbl_2020[[#This Row],[No of Visits]]</f>
        <v>87000</v>
      </c>
    </row>
    <row r="226" spans="2:8" x14ac:dyDescent="0.3">
      <c r="B226" t="s">
        <v>236</v>
      </c>
      <c r="C226" t="s">
        <v>891</v>
      </c>
      <c r="D226" t="s">
        <v>14</v>
      </c>
      <c r="E226">
        <v>1</v>
      </c>
      <c r="F226" t="str">
        <f>+CHOOSE(Tbl_2020[[#This Row],[Type of Service]],"PEST","Disinfe","Rodent","Bird","Termite")</f>
        <v>PEST</v>
      </c>
      <c r="G226">
        <v>25</v>
      </c>
      <c r="H226" s="4">
        <f>+CHOOSE(Tbl_2020[[#This Row],[Type of Service]],2000,3000,3500,4500,5000)*Tbl_2020[[#This Row],[No of Visits]]</f>
        <v>50000</v>
      </c>
    </row>
    <row r="227" spans="2:8" x14ac:dyDescent="0.3">
      <c r="B227" t="s">
        <v>237</v>
      </c>
      <c r="C227" t="s">
        <v>892</v>
      </c>
      <c r="D227" t="s">
        <v>16</v>
      </c>
      <c r="E227">
        <v>3</v>
      </c>
      <c r="F227" t="str">
        <f>+CHOOSE(Tbl_2020[[#This Row],[Type of Service]],"PEST","Disinfe","Rodent","Bird","Termite")</f>
        <v>Rodent</v>
      </c>
      <c r="G227">
        <v>20</v>
      </c>
      <c r="H227" s="4">
        <f>+CHOOSE(Tbl_2020[[#This Row],[Type of Service]],2000,3000,3500,4500,5000)*Tbl_2020[[#This Row],[No of Visits]]</f>
        <v>70000</v>
      </c>
    </row>
    <row r="228" spans="2:8" x14ac:dyDescent="0.3">
      <c r="B228" t="s">
        <v>238</v>
      </c>
      <c r="C228" t="s">
        <v>893</v>
      </c>
      <c r="D228" t="s">
        <v>4</v>
      </c>
      <c r="E228">
        <v>1</v>
      </c>
      <c r="F228" t="str">
        <f>+CHOOSE(Tbl_2020[[#This Row],[Type of Service]],"PEST","Disinfe","Rodent","Bird","Termite")</f>
        <v>PEST</v>
      </c>
      <c r="G228">
        <v>16</v>
      </c>
      <c r="H228" s="4">
        <f>+CHOOSE(Tbl_2020[[#This Row],[Type of Service]],2000,3000,3500,4500,5000)*Tbl_2020[[#This Row],[No of Visits]]</f>
        <v>32000</v>
      </c>
    </row>
    <row r="229" spans="2:8" x14ac:dyDescent="0.3">
      <c r="B229" t="s">
        <v>239</v>
      </c>
      <c r="C229" t="s">
        <v>894</v>
      </c>
      <c r="D229" t="s">
        <v>6</v>
      </c>
      <c r="E229">
        <v>2</v>
      </c>
      <c r="F229" t="str">
        <f>+CHOOSE(Tbl_2020[[#This Row],[Type of Service]],"PEST","Disinfe","Rodent","Bird","Termite")</f>
        <v>Disinfe</v>
      </c>
      <c r="G229">
        <v>15</v>
      </c>
      <c r="H229" s="4">
        <f>+CHOOSE(Tbl_2020[[#This Row],[Type of Service]],2000,3000,3500,4500,5000)*Tbl_2020[[#This Row],[No of Visits]]</f>
        <v>45000</v>
      </c>
    </row>
    <row r="230" spans="2:8" x14ac:dyDescent="0.3">
      <c r="B230" t="s">
        <v>240</v>
      </c>
      <c r="C230" t="s">
        <v>895</v>
      </c>
      <c r="D230" t="s">
        <v>8</v>
      </c>
      <c r="E230">
        <v>1</v>
      </c>
      <c r="F230" t="str">
        <f>+CHOOSE(Tbl_2020[[#This Row],[Type of Service]],"PEST","Disinfe","Rodent","Bird","Termite")</f>
        <v>PEST</v>
      </c>
      <c r="G230">
        <v>29</v>
      </c>
      <c r="H230" s="4">
        <f>+CHOOSE(Tbl_2020[[#This Row],[Type of Service]],2000,3000,3500,4500,5000)*Tbl_2020[[#This Row],[No of Visits]]</f>
        <v>58000</v>
      </c>
    </row>
    <row r="231" spans="2:8" x14ac:dyDescent="0.3">
      <c r="B231" t="s">
        <v>241</v>
      </c>
      <c r="C231" t="s">
        <v>896</v>
      </c>
      <c r="D231" t="s">
        <v>10</v>
      </c>
      <c r="E231">
        <v>4</v>
      </c>
      <c r="F231" t="str">
        <f>+CHOOSE(Tbl_2020[[#This Row],[Type of Service]],"PEST","Disinfe","Rodent","Bird","Termite")</f>
        <v>Bird</v>
      </c>
      <c r="G231">
        <v>24</v>
      </c>
      <c r="H231" s="4">
        <f>+CHOOSE(Tbl_2020[[#This Row],[Type of Service]],2000,3000,3500,4500,5000)*Tbl_2020[[#This Row],[No of Visits]]</f>
        <v>108000</v>
      </c>
    </row>
    <row r="232" spans="2:8" x14ac:dyDescent="0.3">
      <c r="B232" t="s">
        <v>242</v>
      </c>
      <c r="C232" t="s">
        <v>897</v>
      </c>
      <c r="D232" t="s">
        <v>12</v>
      </c>
      <c r="E232">
        <v>3</v>
      </c>
      <c r="F232" t="str">
        <f>+CHOOSE(Tbl_2020[[#This Row],[Type of Service]],"PEST","Disinfe","Rodent","Bird","Termite")</f>
        <v>Rodent</v>
      </c>
      <c r="G232">
        <v>21</v>
      </c>
      <c r="H232" s="4">
        <f>+CHOOSE(Tbl_2020[[#This Row],[Type of Service]],2000,3000,3500,4500,5000)*Tbl_2020[[#This Row],[No of Visits]]</f>
        <v>73500</v>
      </c>
    </row>
    <row r="233" spans="2:8" x14ac:dyDescent="0.3">
      <c r="B233" t="s">
        <v>243</v>
      </c>
      <c r="C233" t="s">
        <v>898</v>
      </c>
      <c r="D233" t="s">
        <v>14</v>
      </c>
      <c r="E233">
        <v>3</v>
      </c>
      <c r="F233" t="str">
        <f>+CHOOSE(Tbl_2020[[#This Row],[Type of Service]],"PEST","Disinfe","Rodent","Bird","Termite")</f>
        <v>Rodent</v>
      </c>
      <c r="G233">
        <v>25</v>
      </c>
      <c r="H233" s="4">
        <f>+CHOOSE(Tbl_2020[[#This Row],[Type of Service]],2000,3000,3500,4500,5000)*Tbl_2020[[#This Row],[No of Visits]]</f>
        <v>87500</v>
      </c>
    </row>
    <row r="234" spans="2:8" x14ac:dyDescent="0.3">
      <c r="B234" t="s">
        <v>244</v>
      </c>
      <c r="C234" t="s">
        <v>819</v>
      </c>
      <c r="D234" t="s">
        <v>16</v>
      </c>
      <c r="E234">
        <v>2</v>
      </c>
      <c r="F234" t="str">
        <f>+CHOOSE(Tbl_2020[[#This Row],[Type of Service]],"PEST","Disinfe","Rodent","Bird","Termite")</f>
        <v>Disinfe</v>
      </c>
      <c r="G234">
        <v>20</v>
      </c>
      <c r="H234" s="4">
        <f>+CHOOSE(Tbl_2020[[#This Row],[Type of Service]],2000,3000,3500,4500,5000)*Tbl_2020[[#This Row],[No of Visits]]</f>
        <v>60000</v>
      </c>
    </row>
    <row r="235" spans="2:8" x14ac:dyDescent="0.3">
      <c r="B235" t="s">
        <v>245</v>
      </c>
      <c r="C235" t="s">
        <v>899</v>
      </c>
      <c r="D235" t="s">
        <v>4</v>
      </c>
      <c r="E235">
        <v>2</v>
      </c>
      <c r="F235" t="str">
        <f>+CHOOSE(Tbl_2020[[#This Row],[Type of Service]],"PEST","Disinfe","Rodent","Bird","Termite")</f>
        <v>Disinfe</v>
      </c>
      <c r="G235">
        <v>28</v>
      </c>
      <c r="H235" s="4">
        <f>+CHOOSE(Tbl_2020[[#This Row],[Type of Service]],2000,3000,3500,4500,5000)*Tbl_2020[[#This Row],[No of Visits]]</f>
        <v>84000</v>
      </c>
    </row>
    <row r="236" spans="2:8" x14ac:dyDescent="0.3">
      <c r="B236" t="s">
        <v>246</v>
      </c>
      <c r="C236" t="s">
        <v>900</v>
      </c>
      <c r="D236" t="s">
        <v>6</v>
      </c>
      <c r="E236">
        <v>1</v>
      </c>
      <c r="F236" t="str">
        <f>+CHOOSE(Tbl_2020[[#This Row],[Type of Service]],"PEST","Disinfe","Rodent","Bird","Termite")</f>
        <v>PEST</v>
      </c>
      <c r="G236">
        <v>25</v>
      </c>
      <c r="H236" s="4">
        <f>+CHOOSE(Tbl_2020[[#This Row],[Type of Service]],2000,3000,3500,4500,5000)*Tbl_2020[[#This Row],[No of Visits]]</f>
        <v>50000</v>
      </c>
    </row>
    <row r="237" spans="2:8" x14ac:dyDescent="0.3">
      <c r="B237" t="s">
        <v>247</v>
      </c>
      <c r="C237" t="s">
        <v>901</v>
      </c>
      <c r="D237" t="s">
        <v>8</v>
      </c>
      <c r="E237">
        <v>4</v>
      </c>
      <c r="F237" t="str">
        <f>+CHOOSE(Tbl_2020[[#This Row],[Type of Service]],"PEST","Disinfe","Rodent","Bird","Termite")</f>
        <v>Bird</v>
      </c>
      <c r="G237">
        <v>8</v>
      </c>
      <c r="H237" s="4">
        <f>+CHOOSE(Tbl_2020[[#This Row],[Type of Service]],2000,3000,3500,4500,5000)*Tbl_2020[[#This Row],[No of Visits]]</f>
        <v>36000</v>
      </c>
    </row>
    <row r="238" spans="2:8" x14ac:dyDescent="0.3">
      <c r="B238" t="s">
        <v>248</v>
      </c>
      <c r="C238" t="s">
        <v>902</v>
      </c>
      <c r="D238" t="s">
        <v>10</v>
      </c>
      <c r="E238">
        <v>3</v>
      </c>
      <c r="F238" t="str">
        <f>+CHOOSE(Tbl_2020[[#This Row],[Type of Service]],"PEST","Disinfe","Rodent","Bird","Termite")</f>
        <v>Rodent</v>
      </c>
      <c r="G238">
        <v>17</v>
      </c>
      <c r="H238" s="4">
        <f>+CHOOSE(Tbl_2020[[#This Row],[Type of Service]],2000,3000,3500,4500,5000)*Tbl_2020[[#This Row],[No of Visits]]</f>
        <v>59500</v>
      </c>
    </row>
    <row r="239" spans="2:8" x14ac:dyDescent="0.3">
      <c r="B239" t="s">
        <v>249</v>
      </c>
      <c r="C239" t="s">
        <v>903</v>
      </c>
      <c r="D239" t="s">
        <v>12</v>
      </c>
      <c r="E239">
        <v>2</v>
      </c>
      <c r="F239" t="str">
        <f>+CHOOSE(Tbl_2020[[#This Row],[Type of Service]],"PEST","Disinfe","Rodent","Bird","Termite")</f>
        <v>Disinfe</v>
      </c>
      <c r="G239">
        <v>17</v>
      </c>
      <c r="H239" s="4">
        <f>+CHOOSE(Tbl_2020[[#This Row],[Type of Service]],2000,3000,3500,4500,5000)*Tbl_2020[[#This Row],[No of Visits]]</f>
        <v>51000</v>
      </c>
    </row>
    <row r="240" spans="2:8" x14ac:dyDescent="0.3">
      <c r="B240" t="s">
        <v>250</v>
      </c>
      <c r="C240" t="s">
        <v>904</v>
      </c>
      <c r="D240" t="s">
        <v>14</v>
      </c>
      <c r="E240">
        <v>3</v>
      </c>
      <c r="F240" t="str">
        <f>+CHOOSE(Tbl_2020[[#This Row],[Type of Service]],"PEST","Disinfe","Rodent","Bird","Termite")</f>
        <v>Rodent</v>
      </c>
      <c r="G240">
        <v>24</v>
      </c>
      <c r="H240" s="4">
        <f>+CHOOSE(Tbl_2020[[#This Row],[Type of Service]],2000,3000,3500,4500,5000)*Tbl_2020[[#This Row],[No of Visits]]</f>
        <v>84000</v>
      </c>
    </row>
    <row r="241" spans="2:8" x14ac:dyDescent="0.3">
      <c r="B241" t="s">
        <v>251</v>
      </c>
      <c r="C241" t="s">
        <v>739</v>
      </c>
      <c r="D241" t="s">
        <v>16</v>
      </c>
      <c r="E241">
        <v>4</v>
      </c>
      <c r="F241" t="str">
        <f>+CHOOSE(Tbl_2020[[#This Row],[Type of Service]],"PEST","Disinfe","Rodent","Bird","Termite")</f>
        <v>Bird</v>
      </c>
      <c r="G241">
        <v>2</v>
      </c>
      <c r="H241" s="4">
        <f>+CHOOSE(Tbl_2020[[#This Row],[Type of Service]],2000,3000,3500,4500,5000)*Tbl_2020[[#This Row],[No of Visits]]</f>
        <v>9000</v>
      </c>
    </row>
    <row r="242" spans="2:8" x14ac:dyDescent="0.3">
      <c r="B242" t="s">
        <v>252</v>
      </c>
      <c r="C242" t="s">
        <v>905</v>
      </c>
      <c r="D242" t="s">
        <v>4</v>
      </c>
      <c r="E242">
        <v>3</v>
      </c>
      <c r="F242" t="str">
        <f>+CHOOSE(Tbl_2020[[#This Row],[Type of Service]],"PEST","Disinfe","Rodent","Bird","Termite")</f>
        <v>Rodent</v>
      </c>
      <c r="G242">
        <v>7</v>
      </c>
      <c r="H242" s="4">
        <f>+CHOOSE(Tbl_2020[[#This Row],[Type of Service]],2000,3000,3500,4500,5000)*Tbl_2020[[#This Row],[No of Visits]]</f>
        <v>24500</v>
      </c>
    </row>
    <row r="243" spans="2:8" x14ac:dyDescent="0.3">
      <c r="B243" t="s">
        <v>253</v>
      </c>
      <c r="C243" t="s">
        <v>906</v>
      </c>
      <c r="D243" t="s">
        <v>6</v>
      </c>
      <c r="E243">
        <v>3</v>
      </c>
      <c r="F243" t="str">
        <f>+CHOOSE(Tbl_2020[[#This Row],[Type of Service]],"PEST","Disinfe","Rodent","Bird","Termite")</f>
        <v>Rodent</v>
      </c>
      <c r="G243">
        <v>15</v>
      </c>
      <c r="H243" s="4">
        <f>+CHOOSE(Tbl_2020[[#This Row],[Type of Service]],2000,3000,3500,4500,5000)*Tbl_2020[[#This Row],[No of Visits]]</f>
        <v>52500</v>
      </c>
    </row>
    <row r="244" spans="2:8" x14ac:dyDescent="0.3">
      <c r="B244" t="s">
        <v>254</v>
      </c>
      <c r="C244" t="s">
        <v>904</v>
      </c>
      <c r="D244" t="s">
        <v>8</v>
      </c>
      <c r="E244">
        <v>3</v>
      </c>
      <c r="F244" t="str">
        <f>+CHOOSE(Tbl_2020[[#This Row],[Type of Service]],"PEST","Disinfe","Rodent","Bird","Termite")</f>
        <v>Rodent</v>
      </c>
      <c r="G244">
        <v>2</v>
      </c>
      <c r="H244" s="4">
        <f>+CHOOSE(Tbl_2020[[#This Row],[Type of Service]],2000,3000,3500,4500,5000)*Tbl_2020[[#This Row],[No of Visits]]</f>
        <v>7000</v>
      </c>
    </row>
    <row r="245" spans="2:8" x14ac:dyDescent="0.3">
      <c r="B245" t="s">
        <v>255</v>
      </c>
      <c r="C245" t="s">
        <v>907</v>
      </c>
      <c r="D245" t="s">
        <v>10</v>
      </c>
      <c r="E245">
        <v>2</v>
      </c>
      <c r="F245" t="str">
        <f>+CHOOSE(Tbl_2020[[#This Row],[Type of Service]],"PEST","Disinfe","Rodent","Bird","Termite")</f>
        <v>Disinfe</v>
      </c>
      <c r="G245">
        <v>21</v>
      </c>
      <c r="H245" s="4">
        <f>+CHOOSE(Tbl_2020[[#This Row],[Type of Service]],2000,3000,3500,4500,5000)*Tbl_2020[[#This Row],[No of Visits]]</f>
        <v>63000</v>
      </c>
    </row>
    <row r="246" spans="2:8" x14ac:dyDescent="0.3">
      <c r="B246" t="s">
        <v>256</v>
      </c>
      <c r="C246" t="s">
        <v>908</v>
      </c>
      <c r="D246" t="s">
        <v>12</v>
      </c>
      <c r="E246">
        <v>2</v>
      </c>
      <c r="F246" t="str">
        <f>+CHOOSE(Tbl_2020[[#This Row],[Type of Service]],"PEST","Disinfe","Rodent","Bird","Termite")</f>
        <v>Disinfe</v>
      </c>
      <c r="G246">
        <v>8</v>
      </c>
      <c r="H246" s="4">
        <f>+CHOOSE(Tbl_2020[[#This Row],[Type of Service]],2000,3000,3500,4500,5000)*Tbl_2020[[#This Row],[No of Visits]]</f>
        <v>24000</v>
      </c>
    </row>
    <row r="247" spans="2:8" x14ac:dyDescent="0.3">
      <c r="B247" t="s">
        <v>257</v>
      </c>
      <c r="C247" t="s">
        <v>909</v>
      </c>
      <c r="D247" t="s">
        <v>14</v>
      </c>
      <c r="E247">
        <v>3</v>
      </c>
      <c r="F247" t="str">
        <f>+CHOOSE(Tbl_2020[[#This Row],[Type of Service]],"PEST","Disinfe","Rodent","Bird","Termite")</f>
        <v>Rodent</v>
      </c>
      <c r="G247">
        <v>14</v>
      </c>
      <c r="H247" s="4">
        <f>+CHOOSE(Tbl_2020[[#This Row],[Type of Service]],2000,3000,3500,4500,5000)*Tbl_2020[[#This Row],[No of Visits]]</f>
        <v>49000</v>
      </c>
    </row>
    <row r="248" spans="2:8" x14ac:dyDescent="0.3">
      <c r="B248" t="s">
        <v>258</v>
      </c>
      <c r="C248" t="s">
        <v>910</v>
      </c>
      <c r="D248" t="s">
        <v>16</v>
      </c>
      <c r="E248">
        <v>4</v>
      </c>
      <c r="F248" t="str">
        <f>+CHOOSE(Tbl_2020[[#This Row],[Type of Service]],"PEST","Disinfe","Rodent","Bird","Termite")</f>
        <v>Bird</v>
      </c>
      <c r="G248">
        <v>29</v>
      </c>
      <c r="H248" s="4">
        <f>+CHOOSE(Tbl_2020[[#This Row],[Type of Service]],2000,3000,3500,4500,5000)*Tbl_2020[[#This Row],[No of Visits]]</f>
        <v>130500</v>
      </c>
    </row>
    <row r="249" spans="2:8" x14ac:dyDescent="0.3">
      <c r="B249" t="s">
        <v>259</v>
      </c>
      <c r="C249" t="s">
        <v>911</v>
      </c>
      <c r="D249" t="s">
        <v>4</v>
      </c>
      <c r="E249">
        <v>4</v>
      </c>
      <c r="F249" t="str">
        <f>+CHOOSE(Tbl_2020[[#This Row],[Type of Service]],"PEST","Disinfe","Rodent","Bird","Termite")</f>
        <v>Bird</v>
      </c>
      <c r="G249">
        <v>21</v>
      </c>
      <c r="H249" s="4">
        <f>+CHOOSE(Tbl_2020[[#This Row],[Type of Service]],2000,3000,3500,4500,5000)*Tbl_2020[[#This Row],[No of Visits]]</f>
        <v>94500</v>
      </c>
    </row>
    <row r="250" spans="2:8" x14ac:dyDescent="0.3">
      <c r="B250" t="s">
        <v>260</v>
      </c>
      <c r="C250" t="s">
        <v>912</v>
      </c>
      <c r="D250" t="s">
        <v>6</v>
      </c>
      <c r="E250">
        <v>4</v>
      </c>
      <c r="F250" t="str">
        <f>+CHOOSE(Tbl_2020[[#This Row],[Type of Service]],"PEST","Disinfe","Rodent","Bird","Termite")</f>
        <v>Bird</v>
      </c>
      <c r="G250">
        <v>26</v>
      </c>
      <c r="H250" s="4">
        <f>+CHOOSE(Tbl_2020[[#This Row],[Type of Service]],2000,3000,3500,4500,5000)*Tbl_2020[[#This Row],[No of Visits]]</f>
        <v>117000</v>
      </c>
    </row>
    <row r="251" spans="2:8" x14ac:dyDescent="0.3">
      <c r="B251" t="s">
        <v>261</v>
      </c>
      <c r="C251" t="s">
        <v>913</v>
      </c>
      <c r="D251" t="s">
        <v>8</v>
      </c>
      <c r="E251">
        <v>2</v>
      </c>
      <c r="F251" t="str">
        <f>+CHOOSE(Tbl_2020[[#This Row],[Type of Service]],"PEST","Disinfe","Rodent","Bird","Termite")</f>
        <v>Disinfe</v>
      </c>
      <c r="G251">
        <v>21</v>
      </c>
      <c r="H251" s="4">
        <f>+CHOOSE(Tbl_2020[[#This Row],[Type of Service]],2000,3000,3500,4500,5000)*Tbl_2020[[#This Row],[No of Visits]]</f>
        <v>63000</v>
      </c>
    </row>
    <row r="252" spans="2:8" x14ac:dyDescent="0.3">
      <c r="B252" t="s">
        <v>262</v>
      </c>
      <c r="C252" t="s">
        <v>914</v>
      </c>
      <c r="D252" t="s">
        <v>10</v>
      </c>
      <c r="E252">
        <v>2</v>
      </c>
      <c r="F252" t="str">
        <f>+CHOOSE(Tbl_2020[[#This Row],[Type of Service]],"PEST","Disinfe","Rodent","Bird","Termite")</f>
        <v>Disinfe</v>
      </c>
      <c r="G252">
        <v>18</v>
      </c>
      <c r="H252" s="4">
        <f>+CHOOSE(Tbl_2020[[#This Row],[Type of Service]],2000,3000,3500,4500,5000)*Tbl_2020[[#This Row],[No of Visits]]</f>
        <v>54000</v>
      </c>
    </row>
    <row r="253" spans="2:8" x14ac:dyDescent="0.3">
      <c r="B253" t="s">
        <v>263</v>
      </c>
      <c r="C253" t="s">
        <v>915</v>
      </c>
      <c r="D253" t="s">
        <v>12</v>
      </c>
      <c r="E253">
        <v>1</v>
      </c>
      <c r="F253" t="str">
        <f>+CHOOSE(Tbl_2020[[#This Row],[Type of Service]],"PEST","Disinfe","Rodent","Bird","Termite")</f>
        <v>PEST</v>
      </c>
      <c r="G253">
        <v>12</v>
      </c>
      <c r="H253" s="4">
        <f>+CHOOSE(Tbl_2020[[#This Row],[Type of Service]],2000,3000,3500,4500,5000)*Tbl_2020[[#This Row],[No of Visits]]</f>
        <v>24000</v>
      </c>
    </row>
    <row r="254" spans="2:8" x14ac:dyDescent="0.3">
      <c r="B254" t="s">
        <v>264</v>
      </c>
      <c r="C254" t="s">
        <v>916</v>
      </c>
      <c r="D254" t="s">
        <v>14</v>
      </c>
      <c r="E254">
        <v>3</v>
      </c>
      <c r="F254" t="str">
        <f>+CHOOSE(Tbl_2020[[#This Row],[Type of Service]],"PEST","Disinfe","Rodent","Bird","Termite")</f>
        <v>Rodent</v>
      </c>
      <c r="G254">
        <v>2</v>
      </c>
      <c r="H254" s="4">
        <f>+CHOOSE(Tbl_2020[[#This Row],[Type of Service]],2000,3000,3500,4500,5000)*Tbl_2020[[#This Row],[No of Visits]]</f>
        <v>7000</v>
      </c>
    </row>
    <row r="255" spans="2:8" x14ac:dyDescent="0.3">
      <c r="B255" t="s">
        <v>265</v>
      </c>
      <c r="C255" t="s">
        <v>917</v>
      </c>
      <c r="D255" t="s">
        <v>16</v>
      </c>
      <c r="E255">
        <v>1</v>
      </c>
      <c r="F255" t="str">
        <f>+CHOOSE(Tbl_2020[[#This Row],[Type of Service]],"PEST","Disinfe","Rodent","Bird","Termite")</f>
        <v>PEST</v>
      </c>
      <c r="G255">
        <v>26</v>
      </c>
      <c r="H255" s="4">
        <f>+CHOOSE(Tbl_2020[[#This Row],[Type of Service]],2000,3000,3500,4500,5000)*Tbl_2020[[#This Row],[No of Visits]]</f>
        <v>52000</v>
      </c>
    </row>
    <row r="256" spans="2:8" x14ac:dyDescent="0.3">
      <c r="B256" t="s">
        <v>266</v>
      </c>
      <c r="C256" t="s">
        <v>267</v>
      </c>
      <c r="D256" t="s">
        <v>4</v>
      </c>
      <c r="E256">
        <v>1</v>
      </c>
      <c r="F256" t="str">
        <f>+CHOOSE(Tbl_2020[[#This Row],[Type of Service]],"PEST","Disinfe","Rodent","Bird","Termite")</f>
        <v>PEST</v>
      </c>
      <c r="G256">
        <v>21</v>
      </c>
      <c r="H256" s="4">
        <f>+CHOOSE(Tbl_2020[[#This Row],[Type of Service]],2000,3000,3500,4500,5000)*Tbl_2020[[#This Row],[No of Visits]]</f>
        <v>42000</v>
      </c>
    </row>
    <row r="257" spans="2:8" x14ac:dyDescent="0.3">
      <c r="B257" t="s">
        <v>268</v>
      </c>
      <c r="C257" t="s">
        <v>918</v>
      </c>
      <c r="D257" t="s">
        <v>6</v>
      </c>
      <c r="E257">
        <v>2</v>
      </c>
      <c r="F257" t="str">
        <f>+CHOOSE(Tbl_2020[[#This Row],[Type of Service]],"PEST","Disinfe","Rodent","Bird","Termite")</f>
        <v>Disinfe</v>
      </c>
      <c r="G257">
        <v>21</v>
      </c>
      <c r="H257" s="4">
        <f>+CHOOSE(Tbl_2020[[#This Row],[Type of Service]],2000,3000,3500,4500,5000)*Tbl_2020[[#This Row],[No of Visits]]</f>
        <v>63000</v>
      </c>
    </row>
    <row r="258" spans="2:8" x14ac:dyDescent="0.3">
      <c r="B258" t="s">
        <v>269</v>
      </c>
      <c r="C258" t="s">
        <v>919</v>
      </c>
      <c r="D258" t="s">
        <v>8</v>
      </c>
      <c r="E258">
        <v>3</v>
      </c>
      <c r="F258" t="str">
        <f>+CHOOSE(Tbl_2020[[#This Row],[Type of Service]],"PEST","Disinfe","Rodent","Bird","Termite")</f>
        <v>Rodent</v>
      </c>
      <c r="G258">
        <v>28</v>
      </c>
      <c r="H258" s="4">
        <f>+CHOOSE(Tbl_2020[[#This Row],[Type of Service]],2000,3000,3500,4500,5000)*Tbl_2020[[#This Row],[No of Visits]]</f>
        <v>98000</v>
      </c>
    </row>
    <row r="259" spans="2:8" x14ac:dyDescent="0.3">
      <c r="B259" t="s">
        <v>270</v>
      </c>
      <c r="C259" t="s">
        <v>920</v>
      </c>
      <c r="D259" t="s">
        <v>10</v>
      </c>
      <c r="E259">
        <v>3</v>
      </c>
      <c r="F259" t="str">
        <f>+CHOOSE(Tbl_2020[[#This Row],[Type of Service]],"PEST","Disinfe","Rodent","Bird","Termite")</f>
        <v>Rodent</v>
      </c>
      <c r="G259">
        <v>26</v>
      </c>
      <c r="H259" s="4">
        <f>+CHOOSE(Tbl_2020[[#This Row],[Type of Service]],2000,3000,3500,4500,5000)*Tbl_2020[[#This Row],[No of Visits]]</f>
        <v>91000</v>
      </c>
    </row>
    <row r="260" spans="2:8" x14ac:dyDescent="0.3">
      <c r="B260" t="s">
        <v>271</v>
      </c>
      <c r="C260" t="s">
        <v>921</v>
      </c>
      <c r="D260" t="s">
        <v>12</v>
      </c>
      <c r="E260">
        <v>4</v>
      </c>
      <c r="F260" t="str">
        <f>+CHOOSE(Tbl_2020[[#This Row],[Type of Service]],"PEST","Disinfe","Rodent","Bird","Termite")</f>
        <v>Bird</v>
      </c>
      <c r="G260">
        <v>1</v>
      </c>
      <c r="H260" s="4">
        <f>+CHOOSE(Tbl_2020[[#This Row],[Type of Service]],2000,3000,3500,4500,5000)*Tbl_2020[[#This Row],[No of Visits]]</f>
        <v>4500</v>
      </c>
    </row>
    <row r="261" spans="2:8" x14ac:dyDescent="0.3">
      <c r="B261" t="s">
        <v>272</v>
      </c>
      <c r="C261" t="s">
        <v>922</v>
      </c>
      <c r="D261" t="s">
        <v>14</v>
      </c>
      <c r="E261">
        <v>2</v>
      </c>
      <c r="F261" t="str">
        <f>+CHOOSE(Tbl_2020[[#This Row],[Type of Service]],"PEST","Disinfe","Rodent","Bird","Termite")</f>
        <v>Disinfe</v>
      </c>
      <c r="G261">
        <v>24</v>
      </c>
      <c r="H261" s="4">
        <f>+CHOOSE(Tbl_2020[[#This Row],[Type of Service]],2000,3000,3500,4500,5000)*Tbl_2020[[#This Row],[No of Visits]]</f>
        <v>72000</v>
      </c>
    </row>
    <row r="262" spans="2:8" x14ac:dyDescent="0.3">
      <c r="B262" t="s">
        <v>273</v>
      </c>
      <c r="C262" t="s">
        <v>923</v>
      </c>
      <c r="D262" t="s">
        <v>16</v>
      </c>
      <c r="E262">
        <v>2</v>
      </c>
      <c r="F262" t="str">
        <f>+CHOOSE(Tbl_2020[[#This Row],[Type of Service]],"PEST","Disinfe","Rodent","Bird","Termite")</f>
        <v>Disinfe</v>
      </c>
      <c r="G262">
        <v>2</v>
      </c>
      <c r="H262" s="4">
        <f>+CHOOSE(Tbl_2020[[#This Row],[Type of Service]],2000,3000,3500,4500,5000)*Tbl_2020[[#This Row],[No of Visits]]</f>
        <v>6000</v>
      </c>
    </row>
    <row r="263" spans="2:8" x14ac:dyDescent="0.3">
      <c r="B263" t="s">
        <v>274</v>
      </c>
      <c r="C263" t="s">
        <v>924</v>
      </c>
      <c r="D263" t="s">
        <v>4</v>
      </c>
      <c r="E263">
        <v>1</v>
      </c>
      <c r="F263" t="str">
        <f>+CHOOSE(Tbl_2020[[#This Row],[Type of Service]],"PEST","Disinfe","Rodent","Bird","Termite")</f>
        <v>PEST</v>
      </c>
      <c r="G263">
        <v>5</v>
      </c>
      <c r="H263" s="4">
        <f>+CHOOSE(Tbl_2020[[#This Row],[Type of Service]],2000,3000,3500,4500,5000)*Tbl_2020[[#This Row],[No of Visits]]</f>
        <v>10000</v>
      </c>
    </row>
    <row r="264" spans="2:8" x14ac:dyDescent="0.3">
      <c r="B264" t="s">
        <v>275</v>
      </c>
      <c r="C264" t="s">
        <v>925</v>
      </c>
      <c r="D264" t="s">
        <v>6</v>
      </c>
      <c r="E264">
        <v>2</v>
      </c>
      <c r="F264" t="str">
        <f>+CHOOSE(Tbl_2020[[#This Row],[Type of Service]],"PEST","Disinfe","Rodent","Bird","Termite")</f>
        <v>Disinfe</v>
      </c>
      <c r="G264">
        <v>2</v>
      </c>
      <c r="H264" s="4">
        <f>+CHOOSE(Tbl_2020[[#This Row],[Type of Service]],2000,3000,3500,4500,5000)*Tbl_2020[[#This Row],[No of Visits]]</f>
        <v>6000</v>
      </c>
    </row>
    <row r="265" spans="2:8" x14ac:dyDescent="0.3">
      <c r="B265" t="s">
        <v>276</v>
      </c>
      <c r="C265" t="s">
        <v>926</v>
      </c>
      <c r="D265" t="s">
        <v>8</v>
      </c>
      <c r="E265">
        <v>2</v>
      </c>
      <c r="F265" t="str">
        <f>+CHOOSE(Tbl_2020[[#This Row],[Type of Service]],"PEST","Disinfe","Rodent","Bird","Termite")</f>
        <v>Disinfe</v>
      </c>
      <c r="G265">
        <v>19</v>
      </c>
      <c r="H265" s="4">
        <f>+CHOOSE(Tbl_2020[[#This Row],[Type of Service]],2000,3000,3500,4500,5000)*Tbl_2020[[#This Row],[No of Visits]]</f>
        <v>57000</v>
      </c>
    </row>
    <row r="266" spans="2:8" x14ac:dyDescent="0.3">
      <c r="B266" t="s">
        <v>277</v>
      </c>
      <c r="C266" t="s">
        <v>927</v>
      </c>
      <c r="D266" t="s">
        <v>10</v>
      </c>
      <c r="E266">
        <v>2</v>
      </c>
      <c r="F266" t="str">
        <f>+CHOOSE(Tbl_2020[[#This Row],[Type of Service]],"PEST","Disinfe","Rodent","Bird","Termite")</f>
        <v>Disinfe</v>
      </c>
      <c r="G266">
        <v>21</v>
      </c>
      <c r="H266" s="4">
        <f>+CHOOSE(Tbl_2020[[#This Row],[Type of Service]],2000,3000,3500,4500,5000)*Tbl_2020[[#This Row],[No of Visits]]</f>
        <v>63000</v>
      </c>
    </row>
    <row r="267" spans="2:8" x14ac:dyDescent="0.3">
      <c r="B267" t="s">
        <v>278</v>
      </c>
      <c r="C267" t="s">
        <v>928</v>
      </c>
      <c r="D267" t="s">
        <v>12</v>
      </c>
      <c r="E267">
        <v>1</v>
      </c>
      <c r="F267" t="str">
        <f>+CHOOSE(Tbl_2020[[#This Row],[Type of Service]],"PEST","Disinfe","Rodent","Bird","Termite")</f>
        <v>PEST</v>
      </c>
      <c r="G267">
        <v>28</v>
      </c>
      <c r="H267" s="4">
        <f>+CHOOSE(Tbl_2020[[#This Row],[Type of Service]],2000,3000,3500,4500,5000)*Tbl_2020[[#This Row],[No of Visits]]</f>
        <v>56000</v>
      </c>
    </row>
    <row r="268" spans="2:8" x14ac:dyDescent="0.3">
      <c r="B268" t="s">
        <v>279</v>
      </c>
      <c r="C268" t="s">
        <v>929</v>
      </c>
      <c r="D268" t="s">
        <v>14</v>
      </c>
      <c r="E268">
        <v>3</v>
      </c>
      <c r="F268" t="str">
        <f>+CHOOSE(Tbl_2020[[#This Row],[Type of Service]],"PEST","Disinfe","Rodent","Bird","Termite")</f>
        <v>Rodent</v>
      </c>
      <c r="G268">
        <v>26</v>
      </c>
      <c r="H268" s="4">
        <f>+CHOOSE(Tbl_2020[[#This Row],[Type of Service]],2000,3000,3500,4500,5000)*Tbl_2020[[#This Row],[No of Visits]]</f>
        <v>91000</v>
      </c>
    </row>
    <row r="269" spans="2:8" x14ac:dyDescent="0.3">
      <c r="B269" t="s">
        <v>280</v>
      </c>
      <c r="C269" t="s">
        <v>930</v>
      </c>
      <c r="D269" t="s">
        <v>16</v>
      </c>
      <c r="E269">
        <v>4</v>
      </c>
      <c r="F269" t="str">
        <f>+CHOOSE(Tbl_2020[[#This Row],[Type of Service]],"PEST","Disinfe","Rodent","Bird","Termite")</f>
        <v>Bird</v>
      </c>
      <c r="G269">
        <v>2</v>
      </c>
      <c r="H269" s="4">
        <f>+CHOOSE(Tbl_2020[[#This Row],[Type of Service]],2000,3000,3500,4500,5000)*Tbl_2020[[#This Row],[No of Visits]]</f>
        <v>9000</v>
      </c>
    </row>
    <row r="270" spans="2:8" x14ac:dyDescent="0.3">
      <c r="B270" t="s">
        <v>281</v>
      </c>
      <c r="C270" t="s">
        <v>831</v>
      </c>
      <c r="D270" t="s">
        <v>4</v>
      </c>
      <c r="E270">
        <v>2</v>
      </c>
      <c r="F270" t="str">
        <f>+CHOOSE(Tbl_2020[[#This Row],[Type of Service]],"PEST","Disinfe","Rodent","Bird","Termite")</f>
        <v>Disinfe</v>
      </c>
      <c r="G270">
        <v>26</v>
      </c>
      <c r="H270" s="4">
        <f>+CHOOSE(Tbl_2020[[#This Row],[Type of Service]],2000,3000,3500,4500,5000)*Tbl_2020[[#This Row],[No of Visits]]</f>
        <v>78000</v>
      </c>
    </row>
    <row r="271" spans="2:8" x14ac:dyDescent="0.3">
      <c r="B271" t="s">
        <v>282</v>
      </c>
      <c r="C271" t="s">
        <v>931</v>
      </c>
      <c r="D271" t="s">
        <v>6</v>
      </c>
      <c r="E271">
        <v>3</v>
      </c>
      <c r="F271" t="str">
        <f>+CHOOSE(Tbl_2020[[#This Row],[Type of Service]],"PEST","Disinfe","Rodent","Bird","Termite")</f>
        <v>Rodent</v>
      </c>
      <c r="G271">
        <v>22</v>
      </c>
      <c r="H271" s="4">
        <f>+CHOOSE(Tbl_2020[[#This Row],[Type of Service]],2000,3000,3500,4500,5000)*Tbl_2020[[#This Row],[No of Visits]]</f>
        <v>77000</v>
      </c>
    </row>
    <row r="272" spans="2:8" x14ac:dyDescent="0.3">
      <c r="B272" t="s">
        <v>283</v>
      </c>
      <c r="C272" t="s">
        <v>932</v>
      </c>
      <c r="D272" t="s">
        <v>8</v>
      </c>
      <c r="E272">
        <v>2</v>
      </c>
      <c r="F272" t="str">
        <f>+CHOOSE(Tbl_2020[[#This Row],[Type of Service]],"PEST","Disinfe","Rodent","Bird","Termite")</f>
        <v>Disinfe</v>
      </c>
      <c r="G272">
        <v>10</v>
      </c>
      <c r="H272" s="4">
        <f>+CHOOSE(Tbl_2020[[#This Row],[Type of Service]],2000,3000,3500,4500,5000)*Tbl_2020[[#This Row],[No of Visits]]</f>
        <v>30000</v>
      </c>
    </row>
    <row r="273" spans="2:8" x14ac:dyDescent="0.3">
      <c r="B273" t="s">
        <v>284</v>
      </c>
      <c r="C273" t="s">
        <v>933</v>
      </c>
      <c r="D273" t="s">
        <v>10</v>
      </c>
      <c r="E273">
        <v>2</v>
      </c>
      <c r="F273" t="str">
        <f>+CHOOSE(Tbl_2020[[#This Row],[Type of Service]],"PEST","Disinfe","Rodent","Bird","Termite")</f>
        <v>Disinfe</v>
      </c>
      <c r="G273">
        <v>27</v>
      </c>
      <c r="H273" s="4">
        <f>+CHOOSE(Tbl_2020[[#This Row],[Type of Service]],2000,3000,3500,4500,5000)*Tbl_2020[[#This Row],[No of Visits]]</f>
        <v>81000</v>
      </c>
    </row>
    <row r="274" spans="2:8" x14ac:dyDescent="0.3">
      <c r="B274" t="s">
        <v>285</v>
      </c>
      <c r="C274" t="s">
        <v>934</v>
      </c>
      <c r="D274" t="s">
        <v>12</v>
      </c>
      <c r="E274">
        <v>3</v>
      </c>
      <c r="F274" t="str">
        <f>+CHOOSE(Tbl_2020[[#This Row],[Type of Service]],"PEST","Disinfe","Rodent","Bird","Termite")</f>
        <v>Rodent</v>
      </c>
      <c r="G274">
        <v>10</v>
      </c>
      <c r="H274" s="4">
        <f>+CHOOSE(Tbl_2020[[#This Row],[Type of Service]],2000,3000,3500,4500,5000)*Tbl_2020[[#This Row],[No of Visits]]</f>
        <v>35000</v>
      </c>
    </row>
    <row r="275" spans="2:8" x14ac:dyDescent="0.3">
      <c r="B275" t="s">
        <v>286</v>
      </c>
      <c r="C275" t="s">
        <v>935</v>
      </c>
      <c r="D275" t="s">
        <v>14</v>
      </c>
      <c r="E275">
        <v>2</v>
      </c>
      <c r="F275" t="str">
        <f>+CHOOSE(Tbl_2020[[#This Row],[Type of Service]],"PEST","Disinfe","Rodent","Bird","Termite")</f>
        <v>Disinfe</v>
      </c>
      <c r="G275">
        <v>10</v>
      </c>
      <c r="H275" s="4">
        <f>+CHOOSE(Tbl_2020[[#This Row],[Type of Service]],2000,3000,3500,4500,5000)*Tbl_2020[[#This Row],[No of Visits]]</f>
        <v>30000</v>
      </c>
    </row>
    <row r="276" spans="2:8" x14ac:dyDescent="0.3">
      <c r="B276" t="s">
        <v>287</v>
      </c>
      <c r="C276" t="s">
        <v>936</v>
      </c>
      <c r="D276" t="s">
        <v>16</v>
      </c>
      <c r="E276">
        <v>2</v>
      </c>
      <c r="F276" t="str">
        <f>+CHOOSE(Tbl_2020[[#This Row],[Type of Service]],"PEST","Disinfe","Rodent","Bird","Termite")</f>
        <v>Disinfe</v>
      </c>
      <c r="G276">
        <v>7</v>
      </c>
      <c r="H276" s="4">
        <f>+CHOOSE(Tbl_2020[[#This Row],[Type of Service]],2000,3000,3500,4500,5000)*Tbl_2020[[#This Row],[No of Visits]]</f>
        <v>21000</v>
      </c>
    </row>
    <row r="277" spans="2:8" x14ac:dyDescent="0.3">
      <c r="B277" t="s">
        <v>288</v>
      </c>
      <c r="C277" t="s">
        <v>937</v>
      </c>
      <c r="D277" t="s">
        <v>4</v>
      </c>
      <c r="E277">
        <v>4</v>
      </c>
      <c r="F277" t="str">
        <f>+CHOOSE(Tbl_2020[[#This Row],[Type of Service]],"PEST","Disinfe","Rodent","Bird","Termite")</f>
        <v>Bird</v>
      </c>
      <c r="G277">
        <v>20</v>
      </c>
      <c r="H277" s="4">
        <f>+CHOOSE(Tbl_2020[[#This Row],[Type of Service]],2000,3000,3500,4500,5000)*Tbl_2020[[#This Row],[No of Visits]]</f>
        <v>90000</v>
      </c>
    </row>
    <row r="278" spans="2:8" x14ac:dyDescent="0.3">
      <c r="B278" t="s">
        <v>289</v>
      </c>
      <c r="C278" t="s">
        <v>938</v>
      </c>
      <c r="D278" t="s">
        <v>6</v>
      </c>
      <c r="E278">
        <v>2</v>
      </c>
      <c r="F278" t="str">
        <f>+CHOOSE(Tbl_2020[[#This Row],[Type of Service]],"PEST","Disinfe","Rodent","Bird","Termite")</f>
        <v>Disinfe</v>
      </c>
      <c r="G278">
        <v>29</v>
      </c>
      <c r="H278" s="4">
        <f>+CHOOSE(Tbl_2020[[#This Row],[Type of Service]],2000,3000,3500,4500,5000)*Tbl_2020[[#This Row],[No of Visits]]</f>
        <v>87000</v>
      </c>
    </row>
    <row r="279" spans="2:8" x14ac:dyDescent="0.3">
      <c r="B279" t="s">
        <v>290</v>
      </c>
      <c r="C279" t="s">
        <v>939</v>
      </c>
      <c r="D279" t="s">
        <v>8</v>
      </c>
      <c r="E279">
        <v>3</v>
      </c>
      <c r="F279" t="str">
        <f>+CHOOSE(Tbl_2020[[#This Row],[Type of Service]],"PEST","Disinfe","Rodent","Bird","Termite")</f>
        <v>Rodent</v>
      </c>
      <c r="G279">
        <v>2</v>
      </c>
      <c r="H279" s="4">
        <f>+CHOOSE(Tbl_2020[[#This Row],[Type of Service]],2000,3000,3500,4500,5000)*Tbl_2020[[#This Row],[No of Visits]]</f>
        <v>7000</v>
      </c>
    </row>
    <row r="280" spans="2:8" x14ac:dyDescent="0.3">
      <c r="B280" t="s">
        <v>291</v>
      </c>
      <c r="C280" t="s">
        <v>772</v>
      </c>
      <c r="D280" t="s">
        <v>10</v>
      </c>
      <c r="E280">
        <v>2</v>
      </c>
      <c r="F280" t="str">
        <f>+CHOOSE(Tbl_2020[[#This Row],[Type of Service]],"PEST","Disinfe","Rodent","Bird","Termite")</f>
        <v>Disinfe</v>
      </c>
      <c r="G280">
        <v>5</v>
      </c>
      <c r="H280" s="4">
        <f>+CHOOSE(Tbl_2020[[#This Row],[Type of Service]],2000,3000,3500,4500,5000)*Tbl_2020[[#This Row],[No of Visits]]</f>
        <v>15000</v>
      </c>
    </row>
    <row r="281" spans="2:8" x14ac:dyDescent="0.3">
      <c r="B281" t="s">
        <v>292</v>
      </c>
      <c r="C281" t="s">
        <v>940</v>
      </c>
      <c r="D281" t="s">
        <v>12</v>
      </c>
      <c r="E281">
        <v>3</v>
      </c>
      <c r="F281" t="str">
        <f>+CHOOSE(Tbl_2020[[#This Row],[Type of Service]],"PEST","Disinfe","Rodent","Bird","Termite")</f>
        <v>Rodent</v>
      </c>
      <c r="G281">
        <v>8</v>
      </c>
      <c r="H281" s="4">
        <f>+CHOOSE(Tbl_2020[[#This Row],[Type of Service]],2000,3000,3500,4500,5000)*Tbl_2020[[#This Row],[No of Visits]]</f>
        <v>28000</v>
      </c>
    </row>
    <row r="282" spans="2:8" x14ac:dyDescent="0.3">
      <c r="B282" t="s">
        <v>293</v>
      </c>
      <c r="C282" t="s">
        <v>941</v>
      </c>
      <c r="D282" t="s">
        <v>14</v>
      </c>
      <c r="E282">
        <v>1</v>
      </c>
      <c r="F282" t="str">
        <f>+CHOOSE(Tbl_2020[[#This Row],[Type of Service]],"PEST","Disinfe","Rodent","Bird","Termite")</f>
        <v>PEST</v>
      </c>
      <c r="G282">
        <v>4</v>
      </c>
      <c r="H282" s="4">
        <f>+CHOOSE(Tbl_2020[[#This Row],[Type of Service]],2000,3000,3500,4500,5000)*Tbl_2020[[#This Row],[No of Visits]]</f>
        <v>8000</v>
      </c>
    </row>
    <row r="283" spans="2:8" x14ac:dyDescent="0.3">
      <c r="B283" t="s">
        <v>294</v>
      </c>
      <c r="C283" t="s">
        <v>942</v>
      </c>
      <c r="D283" t="s">
        <v>16</v>
      </c>
      <c r="E283">
        <v>1</v>
      </c>
      <c r="F283" t="str">
        <f>+CHOOSE(Tbl_2020[[#This Row],[Type of Service]],"PEST","Disinfe","Rodent","Bird","Termite")</f>
        <v>PEST</v>
      </c>
      <c r="G283">
        <v>5</v>
      </c>
      <c r="H283" s="4">
        <f>+CHOOSE(Tbl_2020[[#This Row],[Type of Service]],2000,3000,3500,4500,5000)*Tbl_2020[[#This Row],[No of Visits]]</f>
        <v>10000</v>
      </c>
    </row>
    <row r="284" spans="2:8" x14ac:dyDescent="0.3">
      <c r="B284" t="s">
        <v>295</v>
      </c>
      <c r="C284" t="s">
        <v>943</v>
      </c>
      <c r="D284" t="s">
        <v>4</v>
      </c>
      <c r="E284">
        <v>2</v>
      </c>
      <c r="F284" t="str">
        <f>+CHOOSE(Tbl_2020[[#This Row],[Type of Service]],"PEST","Disinfe","Rodent","Bird","Termite")</f>
        <v>Disinfe</v>
      </c>
      <c r="G284">
        <v>26</v>
      </c>
      <c r="H284" s="4">
        <f>+CHOOSE(Tbl_2020[[#This Row],[Type of Service]],2000,3000,3500,4500,5000)*Tbl_2020[[#This Row],[No of Visits]]</f>
        <v>78000</v>
      </c>
    </row>
    <row r="285" spans="2:8" x14ac:dyDescent="0.3">
      <c r="B285" t="s">
        <v>296</v>
      </c>
      <c r="C285" t="s">
        <v>944</v>
      </c>
      <c r="D285" t="s">
        <v>6</v>
      </c>
      <c r="E285">
        <v>1</v>
      </c>
      <c r="F285" t="str">
        <f>+CHOOSE(Tbl_2020[[#This Row],[Type of Service]],"PEST","Disinfe","Rodent","Bird","Termite")</f>
        <v>PEST</v>
      </c>
      <c r="G285">
        <v>12</v>
      </c>
      <c r="H285" s="4">
        <f>+CHOOSE(Tbl_2020[[#This Row],[Type of Service]],2000,3000,3500,4500,5000)*Tbl_2020[[#This Row],[No of Visits]]</f>
        <v>24000</v>
      </c>
    </row>
    <row r="286" spans="2:8" x14ac:dyDescent="0.3">
      <c r="B286" t="s">
        <v>297</v>
      </c>
      <c r="C286" t="s">
        <v>945</v>
      </c>
      <c r="D286" t="s">
        <v>8</v>
      </c>
      <c r="E286">
        <v>2</v>
      </c>
      <c r="F286" t="str">
        <f>+CHOOSE(Tbl_2020[[#This Row],[Type of Service]],"PEST","Disinfe","Rodent","Bird","Termite")</f>
        <v>Disinfe</v>
      </c>
      <c r="G286">
        <v>21</v>
      </c>
      <c r="H286" s="4">
        <f>+CHOOSE(Tbl_2020[[#This Row],[Type of Service]],2000,3000,3500,4500,5000)*Tbl_2020[[#This Row],[No of Visits]]</f>
        <v>63000</v>
      </c>
    </row>
    <row r="287" spans="2:8" x14ac:dyDescent="0.3">
      <c r="B287" t="s">
        <v>298</v>
      </c>
      <c r="C287" t="s">
        <v>946</v>
      </c>
      <c r="D287" t="s">
        <v>10</v>
      </c>
      <c r="E287">
        <v>1</v>
      </c>
      <c r="F287" t="str">
        <f>+CHOOSE(Tbl_2020[[#This Row],[Type of Service]],"PEST","Disinfe","Rodent","Bird","Termite")</f>
        <v>PEST</v>
      </c>
      <c r="G287">
        <v>10</v>
      </c>
      <c r="H287" s="4">
        <f>+CHOOSE(Tbl_2020[[#This Row],[Type of Service]],2000,3000,3500,4500,5000)*Tbl_2020[[#This Row],[No of Visits]]</f>
        <v>20000</v>
      </c>
    </row>
    <row r="288" spans="2:8" x14ac:dyDescent="0.3">
      <c r="B288" t="s">
        <v>299</v>
      </c>
      <c r="C288" t="s">
        <v>947</v>
      </c>
      <c r="D288" t="s">
        <v>12</v>
      </c>
      <c r="E288">
        <v>3</v>
      </c>
      <c r="F288" t="str">
        <f>+CHOOSE(Tbl_2020[[#This Row],[Type of Service]],"PEST","Disinfe","Rodent","Bird","Termite")</f>
        <v>Rodent</v>
      </c>
      <c r="G288">
        <v>2</v>
      </c>
      <c r="H288" s="4">
        <f>+CHOOSE(Tbl_2020[[#This Row],[Type of Service]],2000,3000,3500,4500,5000)*Tbl_2020[[#This Row],[No of Visits]]</f>
        <v>7000</v>
      </c>
    </row>
    <row r="289" spans="2:8" x14ac:dyDescent="0.3">
      <c r="B289" t="s">
        <v>300</v>
      </c>
      <c r="C289" t="s">
        <v>948</v>
      </c>
      <c r="D289" t="s">
        <v>14</v>
      </c>
      <c r="E289">
        <v>2</v>
      </c>
      <c r="F289" t="str">
        <f>+CHOOSE(Tbl_2020[[#This Row],[Type of Service]],"PEST","Disinfe","Rodent","Bird","Termite")</f>
        <v>Disinfe</v>
      </c>
      <c r="G289">
        <v>6</v>
      </c>
      <c r="H289" s="4">
        <f>+CHOOSE(Tbl_2020[[#This Row],[Type of Service]],2000,3000,3500,4500,5000)*Tbl_2020[[#This Row],[No of Visits]]</f>
        <v>18000</v>
      </c>
    </row>
    <row r="290" spans="2:8" x14ac:dyDescent="0.3">
      <c r="B290" t="s">
        <v>301</v>
      </c>
      <c r="C290" t="s">
        <v>949</v>
      </c>
      <c r="D290" t="s">
        <v>16</v>
      </c>
      <c r="E290">
        <v>2</v>
      </c>
      <c r="F290" t="str">
        <f>+CHOOSE(Tbl_2020[[#This Row],[Type of Service]],"PEST","Disinfe","Rodent","Bird","Termite")</f>
        <v>Disinfe</v>
      </c>
      <c r="G290">
        <v>24</v>
      </c>
      <c r="H290" s="4">
        <f>+CHOOSE(Tbl_2020[[#This Row],[Type of Service]],2000,3000,3500,4500,5000)*Tbl_2020[[#This Row],[No of Visits]]</f>
        <v>72000</v>
      </c>
    </row>
    <row r="291" spans="2:8" x14ac:dyDescent="0.3">
      <c r="B291" t="s">
        <v>302</v>
      </c>
      <c r="C291" t="s">
        <v>950</v>
      </c>
      <c r="D291" t="s">
        <v>4</v>
      </c>
      <c r="E291">
        <v>2</v>
      </c>
      <c r="F291" t="str">
        <f>+CHOOSE(Tbl_2020[[#This Row],[Type of Service]],"PEST","Disinfe","Rodent","Bird","Termite")</f>
        <v>Disinfe</v>
      </c>
      <c r="G291">
        <v>17</v>
      </c>
      <c r="H291" s="4">
        <f>+CHOOSE(Tbl_2020[[#This Row],[Type of Service]],2000,3000,3500,4500,5000)*Tbl_2020[[#This Row],[No of Visits]]</f>
        <v>51000</v>
      </c>
    </row>
    <row r="292" spans="2:8" x14ac:dyDescent="0.3">
      <c r="B292" t="s">
        <v>303</v>
      </c>
      <c r="C292" t="s">
        <v>951</v>
      </c>
      <c r="D292" t="s">
        <v>6</v>
      </c>
      <c r="E292">
        <v>4</v>
      </c>
      <c r="F292" t="str">
        <f>+CHOOSE(Tbl_2020[[#This Row],[Type of Service]],"PEST","Disinfe","Rodent","Bird","Termite")</f>
        <v>Bird</v>
      </c>
      <c r="G292">
        <v>2</v>
      </c>
      <c r="H292" s="4">
        <f>+CHOOSE(Tbl_2020[[#This Row],[Type of Service]],2000,3000,3500,4500,5000)*Tbl_2020[[#This Row],[No of Visits]]</f>
        <v>9000</v>
      </c>
    </row>
    <row r="293" spans="2:8" x14ac:dyDescent="0.3">
      <c r="B293" t="s">
        <v>304</v>
      </c>
      <c r="C293" t="s">
        <v>952</v>
      </c>
      <c r="D293" t="s">
        <v>8</v>
      </c>
      <c r="E293">
        <v>3</v>
      </c>
      <c r="F293" t="str">
        <f>+CHOOSE(Tbl_2020[[#This Row],[Type of Service]],"PEST","Disinfe","Rodent","Bird","Termite")</f>
        <v>Rodent</v>
      </c>
      <c r="G293">
        <v>22</v>
      </c>
      <c r="H293" s="4">
        <f>+CHOOSE(Tbl_2020[[#This Row],[Type of Service]],2000,3000,3500,4500,5000)*Tbl_2020[[#This Row],[No of Visits]]</f>
        <v>77000</v>
      </c>
    </row>
    <row r="294" spans="2:8" x14ac:dyDescent="0.3">
      <c r="B294" t="s">
        <v>305</v>
      </c>
      <c r="C294" t="s">
        <v>953</v>
      </c>
      <c r="D294" t="s">
        <v>10</v>
      </c>
      <c r="E294">
        <v>2</v>
      </c>
      <c r="F294" t="str">
        <f>+CHOOSE(Tbl_2020[[#This Row],[Type of Service]],"PEST","Disinfe","Rodent","Bird","Termite")</f>
        <v>Disinfe</v>
      </c>
      <c r="G294">
        <v>5</v>
      </c>
      <c r="H294" s="4">
        <f>+CHOOSE(Tbl_2020[[#This Row],[Type of Service]],2000,3000,3500,4500,5000)*Tbl_2020[[#This Row],[No of Visits]]</f>
        <v>15000</v>
      </c>
    </row>
    <row r="295" spans="2:8" x14ac:dyDescent="0.3">
      <c r="B295" t="s">
        <v>306</v>
      </c>
      <c r="C295" t="s">
        <v>954</v>
      </c>
      <c r="D295" t="s">
        <v>12</v>
      </c>
      <c r="E295">
        <v>1</v>
      </c>
      <c r="F295" t="str">
        <f>+CHOOSE(Tbl_2020[[#This Row],[Type of Service]],"PEST","Disinfe","Rodent","Bird","Termite")</f>
        <v>PEST</v>
      </c>
      <c r="G295">
        <v>8</v>
      </c>
      <c r="H295" s="4">
        <f>+CHOOSE(Tbl_2020[[#This Row],[Type of Service]],2000,3000,3500,4500,5000)*Tbl_2020[[#This Row],[No of Visits]]</f>
        <v>16000</v>
      </c>
    </row>
    <row r="296" spans="2:8" x14ac:dyDescent="0.3">
      <c r="B296" t="s">
        <v>307</v>
      </c>
      <c r="C296" t="s">
        <v>815</v>
      </c>
      <c r="D296" t="s">
        <v>14</v>
      </c>
      <c r="E296">
        <v>3</v>
      </c>
      <c r="F296" t="str">
        <f>+CHOOSE(Tbl_2020[[#This Row],[Type of Service]],"PEST","Disinfe","Rodent","Bird","Termite")</f>
        <v>Rodent</v>
      </c>
      <c r="G296">
        <v>14</v>
      </c>
      <c r="H296" s="4">
        <f>+CHOOSE(Tbl_2020[[#This Row],[Type of Service]],2000,3000,3500,4500,5000)*Tbl_2020[[#This Row],[No of Visits]]</f>
        <v>49000</v>
      </c>
    </row>
    <row r="297" spans="2:8" x14ac:dyDescent="0.3">
      <c r="B297" t="s">
        <v>308</v>
      </c>
      <c r="C297" t="s">
        <v>955</v>
      </c>
      <c r="D297" t="s">
        <v>16</v>
      </c>
      <c r="E297">
        <v>3</v>
      </c>
      <c r="F297" t="str">
        <f>+CHOOSE(Tbl_2020[[#This Row],[Type of Service]],"PEST","Disinfe","Rodent","Bird","Termite")</f>
        <v>Rodent</v>
      </c>
      <c r="G297">
        <v>2</v>
      </c>
      <c r="H297" s="4">
        <f>+CHOOSE(Tbl_2020[[#This Row],[Type of Service]],2000,3000,3500,4500,5000)*Tbl_2020[[#This Row],[No of Visits]]</f>
        <v>7000</v>
      </c>
    </row>
    <row r="298" spans="2:8" x14ac:dyDescent="0.3">
      <c r="B298" t="s">
        <v>309</v>
      </c>
      <c r="C298" t="s">
        <v>956</v>
      </c>
      <c r="D298" t="s">
        <v>4</v>
      </c>
      <c r="E298">
        <v>4</v>
      </c>
      <c r="F298" t="str">
        <f>+CHOOSE(Tbl_2020[[#This Row],[Type of Service]],"PEST","Disinfe","Rodent","Bird","Termite")</f>
        <v>Bird</v>
      </c>
      <c r="G298">
        <v>24</v>
      </c>
      <c r="H298" s="4">
        <f>+CHOOSE(Tbl_2020[[#This Row],[Type of Service]],2000,3000,3500,4500,5000)*Tbl_2020[[#This Row],[No of Visits]]</f>
        <v>108000</v>
      </c>
    </row>
    <row r="299" spans="2:8" x14ac:dyDescent="0.3">
      <c r="B299" t="s">
        <v>310</v>
      </c>
      <c r="C299" t="s">
        <v>957</v>
      </c>
      <c r="D299" t="s">
        <v>6</v>
      </c>
      <c r="E299">
        <v>1</v>
      </c>
      <c r="F299" t="str">
        <f>+CHOOSE(Tbl_2020[[#This Row],[Type of Service]],"PEST","Disinfe","Rodent","Bird","Termite")</f>
        <v>PEST</v>
      </c>
      <c r="G299">
        <v>7</v>
      </c>
      <c r="H299" s="4">
        <f>+CHOOSE(Tbl_2020[[#This Row],[Type of Service]],2000,3000,3500,4500,5000)*Tbl_2020[[#This Row],[No of Visits]]</f>
        <v>14000</v>
      </c>
    </row>
    <row r="300" spans="2:8" x14ac:dyDescent="0.3">
      <c r="B300" t="s">
        <v>311</v>
      </c>
      <c r="C300" t="s">
        <v>958</v>
      </c>
      <c r="D300" t="s">
        <v>8</v>
      </c>
      <c r="E300">
        <v>2</v>
      </c>
      <c r="F300" t="str">
        <f>+CHOOSE(Tbl_2020[[#This Row],[Type of Service]],"PEST","Disinfe","Rodent","Bird","Termite")</f>
        <v>Disinfe</v>
      </c>
      <c r="G300">
        <v>2</v>
      </c>
      <c r="H300" s="4">
        <f>+CHOOSE(Tbl_2020[[#This Row],[Type of Service]],2000,3000,3500,4500,5000)*Tbl_2020[[#This Row],[No of Visits]]</f>
        <v>6000</v>
      </c>
    </row>
    <row r="301" spans="2:8" x14ac:dyDescent="0.3">
      <c r="B301" t="s">
        <v>312</v>
      </c>
      <c r="C301" t="s">
        <v>897</v>
      </c>
      <c r="D301" t="s">
        <v>10</v>
      </c>
      <c r="E301">
        <v>3</v>
      </c>
      <c r="F301" t="str">
        <f>+CHOOSE(Tbl_2020[[#This Row],[Type of Service]],"PEST","Disinfe","Rodent","Bird","Termite")</f>
        <v>Rodent</v>
      </c>
      <c r="G301">
        <v>28</v>
      </c>
      <c r="H301" s="4">
        <f>+CHOOSE(Tbl_2020[[#This Row],[Type of Service]],2000,3000,3500,4500,5000)*Tbl_2020[[#This Row],[No of Visits]]</f>
        <v>98000</v>
      </c>
    </row>
    <row r="302" spans="2:8" x14ac:dyDescent="0.3">
      <c r="B302" t="s">
        <v>313</v>
      </c>
      <c r="C302" t="s">
        <v>959</v>
      </c>
      <c r="D302" t="s">
        <v>12</v>
      </c>
      <c r="E302">
        <v>4</v>
      </c>
      <c r="F302" t="str">
        <f>+CHOOSE(Tbl_2020[[#This Row],[Type of Service]],"PEST","Disinfe","Rodent","Bird","Termite")</f>
        <v>Bird</v>
      </c>
      <c r="G302">
        <v>7</v>
      </c>
      <c r="H302" s="4">
        <f>+CHOOSE(Tbl_2020[[#This Row],[Type of Service]],2000,3000,3500,4500,5000)*Tbl_2020[[#This Row],[No of Visits]]</f>
        <v>31500</v>
      </c>
    </row>
    <row r="303" spans="2:8" x14ac:dyDescent="0.3">
      <c r="B303" t="s">
        <v>314</v>
      </c>
      <c r="C303" t="s">
        <v>960</v>
      </c>
      <c r="D303" t="s">
        <v>14</v>
      </c>
      <c r="E303">
        <v>2</v>
      </c>
      <c r="F303" t="str">
        <f>+CHOOSE(Tbl_2020[[#This Row],[Type of Service]],"PEST","Disinfe","Rodent","Bird","Termite")</f>
        <v>Disinfe</v>
      </c>
      <c r="G303">
        <v>12</v>
      </c>
      <c r="H303" s="4">
        <f>+CHOOSE(Tbl_2020[[#This Row],[Type of Service]],2000,3000,3500,4500,5000)*Tbl_2020[[#This Row],[No of Visits]]</f>
        <v>36000</v>
      </c>
    </row>
    <row r="304" spans="2:8" x14ac:dyDescent="0.3">
      <c r="B304" t="s">
        <v>315</v>
      </c>
      <c r="C304" t="s">
        <v>815</v>
      </c>
      <c r="D304" t="s">
        <v>16</v>
      </c>
      <c r="E304">
        <v>3</v>
      </c>
      <c r="F304" t="str">
        <f>+CHOOSE(Tbl_2020[[#This Row],[Type of Service]],"PEST","Disinfe","Rodent","Bird","Termite")</f>
        <v>Rodent</v>
      </c>
      <c r="G304">
        <v>22</v>
      </c>
      <c r="H304" s="4">
        <f>+CHOOSE(Tbl_2020[[#This Row],[Type of Service]],2000,3000,3500,4500,5000)*Tbl_2020[[#This Row],[No of Visits]]</f>
        <v>77000</v>
      </c>
    </row>
    <row r="305" spans="2:8" x14ac:dyDescent="0.3">
      <c r="B305" t="s">
        <v>316</v>
      </c>
      <c r="C305" t="s">
        <v>961</v>
      </c>
      <c r="D305" t="s">
        <v>4</v>
      </c>
      <c r="E305">
        <v>3</v>
      </c>
      <c r="F305" t="str">
        <f>+CHOOSE(Tbl_2020[[#This Row],[Type of Service]],"PEST","Disinfe","Rodent","Bird","Termite")</f>
        <v>Rodent</v>
      </c>
      <c r="G305">
        <v>20</v>
      </c>
      <c r="H305" s="4">
        <f>+CHOOSE(Tbl_2020[[#This Row],[Type of Service]],2000,3000,3500,4500,5000)*Tbl_2020[[#This Row],[No of Visits]]</f>
        <v>70000</v>
      </c>
    </row>
    <row r="306" spans="2:8" x14ac:dyDescent="0.3">
      <c r="B306" t="s">
        <v>317</v>
      </c>
      <c r="C306" t="s">
        <v>962</v>
      </c>
      <c r="D306" t="s">
        <v>6</v>
      </c>
      <c r="E306">
        <v>3</v>
      </c>
      <c r="F306" t="str">
        <f>+CHOOSE(Tbl_2020[[#This Row],[Type of Service]],"PEST","Disinfe","Rodent","Bird","Termite")</f>
        <v>Rodent</v>
      </c>
      <c r="G306">
        <v>27</v>
      </c>
      <c r="H306" s="4">
        <f>+CHOOSE(Tbl_2020[[#This Row],[Type of Service]],2000,3000,3500,4500,5000)*Tbl_2020[[#This Row],[No of Visits]]</f>
        <v>94500</v>
      </c>
    </row>
    <row r="307" spans="2:8" x14ac:dyDescent="0.3">
      <c r="B307" t="s">
        <v>318</v>
      </c>
      <c r="C307" t="s">
        <v>935</v>
      </c>
      <c r="D307" t="s">
        <v>8</v>
      </c>
      <c r="E307">
        <v>2</v>
      </c>
      <c r="F307" t="str">
        <f>+CHOOSE(Tbl_2020[[#This Row],[Type of Service]],"PEST","Disinfe","Rodent","Bird","Termite")</f>
        <v>Disinfe</v>
      </c>
      <c r="G307">
        <v>12</v>
      </c>
      <c r="H307" s="4">
        <f>+CHOOSE(Tbl_2020[[#This Row],[Type of Service]],2000,3000,3500,4500,5000)*Tbl_2020[[#This Row],[No of Visits]]</f>
        <v>36000</v>
      </c>
    </row>
    <row r="308" spans="2:8" x14ac:dyDescent="0.3">
      <c r="B308" t="s">
        <v>319</v>
      </c>
      <c r="C308" t="s">
        <v>963</v>
      </c>
      <c r="D308" t="s">
        <v>10</v>
      </c>
      <c r="E308">
        <v>1</v>
      </c>
      <c r="F308" t="str">
        <f>+CHOOSE(Tbl_2020[[#This Row],[Type of Service]],"PEST","Disinfe","Rodent","Bird","Termite")</f>
        <v>PEST</v>
      </c>
      <c r="G308">
        <v>22</v>
      </c>
      <c r="H308" s="4">
        <f>+CHOOSE(Tbl_2020[[#This Row],[Type of Service]],2000,3000,3500,4500,5000)*Tbl_2020[[#This Row],[No of Visits]]</f>
        <v>44000</v>
      </c>
    </row>
    <row r="309" spans="2:8" x14ac:dyDescent="0.3">
      <c r="B309" t="s">
        <v>320</v>
      </c>
      <c r="C309" t="s">
        <v>854</v>
      </c>
      <c r="D309" t="s">
        <v>12</v>
      </c>
      <c r="E309">
        <v>4</v>
      </c>
      <c r="F309" t="str">
        <f>+CHOOSE(Tbl_2020[[#This Row],[Type of Service]],"PEST","Disinfe","Rodent","Bird","Termite")</f>
        <v>Bird</v>
      </c>
      <c r="G309">
        <v>7</v>
      </c>
      <c r="H309" s="4">
        <f>+CHOOSE(Tbl_2020[[#This Row],[Type of Service]],2000,3000,3500,4500,5000)*Tbl_2020[[#This Row],[No of Visits]]</f>
        <v>31500</v>
      </c>
    </row>
    <row r="310" spans="2:8" x14ac:dyDescent="0.3">
      <c r="B310" t="s">
        <v>321</v>
      </c>
      <c r="C310" t="s">
        <v>754</v>
      </c>
      <c r="D310" t="s">
        <v>14</v>
      </c>
      <c r="E310">
        <v>3</v>
      </c>
      <c r="F310" t="str">
        <f>+CHOOSE(Tbl_2020[[#This Row],[Type of Service]],"PEST","Disinfe","Rodent","Bird","Termite")</f>
        <v>Rodent</v>
      </c>
      <c r="G310">
        <v>27</v>
      </c>
      <c r="H310" s="4">
        <f>+CHOOSE(Tbl_2020[[#This Row],[Type of Service]],2000,3000,3500,4500,5000)*Tbl_2020[[#This Row],[No of Visits]]</f>
        <v>94500</v>
      </c>
    </row>
    <row r="311" spans="2:8" x14ac:dyDescent="0.3">
      <c r="B311" t="s">
        <v>322</v>
      </c>
      <c r="C311" t="s">
        <v>964</v>
      </c>
      <c r="D311" t="s">
        <v>16</v>
      </c>
      <c r="E311">
        <v>4</v>
      </c>
      <c r="F311" t="str">
        <f>+CHOOSE(Tbl_2020[[#This Row],[Type of Service]],"PEST","Disinfe","Rodent","Bird","Termite")</f>
        <v>Bird</v>
      </c>
      <c r="G311">
        <v>12</v>
      </c>
      <c r="H311" s="4">
        <f>+CHOOSE(Tbl_2020[[#This Row],[Type of Service]],2000,3000,3500,4500,5000)*Tbl_2020[[#This Row],[No of Visits]]</f>
        <v>54000</v>
      </c>
    </row>
    <row r="312" spans="2:8" x14ac:dyDescent="0.3">
      <c r="B312" t="s">
        <v>323</v>
      </c>
      <c r="C312" t="s">
        <v>965</v>
      </c>
      <c r="D312" t="s">
        <v>4</v>
      </c>
      <c r="E312">
        <v>3</v>
      </c>
      <c r="F312" t="str">
        <f>+CHOOSE(Tbl_2020[[#This Row],[Type of Service]],"PEST","Disinfe","Rodent","Bird","Termite")</f>
        <v>Rodent</v>
      </c>
      <c r="G312">
        <v>6</v>
      </c>
      <c r="H312" s="4">
        <f>+CHOOSE(Tbl_2020[[#This Row],[Type of Service]],2000,3000,3500,4500,5000)*Tbl_2020[[#This Row],[No of Visits]]</f>
        <v>21000</v>
      </c>
    </row>
    <row r="313" spans="2:8" x14ac:dyDescent="0.3">
      <c r="B313" t="s">
        <v>324</v>
      </c>
      <c r="C313" t="s">
        <v>966</v>
      </c>
      <c r="D313" t="s">
        <v>6</v>
      </c>
      <c r="E313">
        <v>2</v>
      </c>
      <c r="F313" t="str">
        <f>+CHOOSE(Tbl_2020[[#This Row],[Type of Service]],"PEST","Disinfe","Rodent","Bird","Termite")</f>
        <v>Disinfe</v>
      </c>
      <c r="G313">
        <v>21</v>
      </c>
      <c r="H313" s="4">
        <f>+CHOOSE(Tbl_2020[[#This Row],[Type of Service]],2000,3000,3500,4500,5000)*Tbl_2020[[#This Row],[No of Visits]]</f>
        <v>63000</v>
      </c>
    </row>
    <row r="314" spans="2:8" x14ac:dyDescent="0.3">
      <c r="B314" t="s">
        <v>325</v>
      </c>
      <c r="C314" t="s">
        <v>967</v>
      </c>
      <c r="D314" t="s">
        <v>8</v>
      </c>
      <c r="E314">
        <v>3</v>
      </c>
      <c r="F314" t="str">
        <f>+CHOOSE(Tbl_2020[[#This Row],[Type of Service]],"PEST","Disinfe","Rodent","Bird","Termite")</f>
        <v>Rodent</v>
      </c>
      <c r="G314">
        <v>26</v>
      </c>
      <c r="H314" s="4">
        <f>+CHOOSE(Tbl_2020[[#This Row],[Type of Service]],2000,3000,3500,4500,5000)*Tbl_2020[[#This Row],[No of Visits]]</f>
        <v>91000</v>
      </c>
    </row>
    <row r="315" spans="2:8" x14ac:dyDescent="0.3">
      <c r="B315" t="s">
        <v>326</v>
      </c>
      <c r="C315" t="s">
        <v>968</v>
      </c>
      <c r="D315" t="s">
        <v>10</v>
      </c>
      <c r="E315">
        <v>2</v>
      </c>
      <c r="F315" t="str">
        <f>+CHOOSE(Tbl_2020[[#This Row],[Type of Service]],"PEST","Disinfe","Rodent","Bird","Termite")</f>
        <v>Disinfe</v>
      </c>
      <c r="G315">
        <v>22</v>
      </c>
      <c r="H315" s="4">
        <f>+CHOOSE(Tbl_2020[[#This Row],[Type of Service]],2000,3000,3500,4500,5000)*Tbl_2020[[#This Row],[No of Visits]]</f>
        <v>66000</v>
      </c>
    </row>
    <row r="316" spans="2:8" x14ac:dyDescent="0.3">
      <c r="B316" t="s">
        <v>327</v>
      </c>
      <c r="C316" t="s">
        <v>969</v>
      </c>
      <c r="D316" t="s">
        <v>12</v>
      </c>
      <c r="E316">
        <v>3</v>
      </c>
      <c r="F316" t="str">
        <f>+CHOOSE(Tbl_2020[[#This Row],[Type of Service]],"PEST","Disinfe","Rodent","Bird","Termite")</f>
        <v>Rodent</v>
      </c>
      <c r="G316">
        <v>24</v>
      </c>
      <c r="H316" s="4">
        <f>+CHOOSE(Tbl_2020[[#This Row],[Type of Service]],2000,3000,3500,4500,5000)*Tbl_2020[[#This Row],[No of Visits]]</f>
        <v>84000</v>
      </c>
    </row>
    <row r="317" spans="2:8" x14ac:dyDescent="0.3">
      <c r="B317" t="s">
        <v>328</v>
      </c>
      <c r="C317" t="s">
        <v>837</v>
      </c>
      <c r="D317" t="s">
        <v>14</v>
      </c>
      <c r="E317">
        <v>2</v>
      </c>
      <c r="F317" t="str">
        <f>+CHOOSE(Tbl_2020[[#This Row],[Type of Service]],"PEST","Disinfe","Rodent","Bird","Termite")</f>
        <v>Disinfe</v>
      </c>
      <c r="G317">
        <v>11</v>
      </c>
      <c r="H317" s="4">
        <f>+CHOOSE(Tbl_2020[[#This Row],[Type of Service]],2000,3000,3500,4500,5000)*Tbl_2020[[#This Row],[No of Visits]]</f>
        <v>33000</v>
      </c>
    </row>
    <row r="318" spans="2:8" x14ac:dyDescent="0.3">
      <c r="B318" t="s">
        <v>329</v>
      </c>
      <c r="C318" t="s">
        <v>970</v>
      </c>
      <c r="D318" t="s">
        <v>16</v>
      </c>
      <c r="E318">
        <v>3</v>
      </c>
      <c r="F318" t="str">
        <f>+CHOOSE(Tbl_2020[[#This Row],[Type of Service]],"PEST","Disinfe","Rodent","Bird","Termite")</f>
        <v>Rodent</v>
      </c>
      <c r="G318">
        <v>10</v>
      </c>
      <c r="H318" s="4">
        <f>+CHOOSE(Tbl_2020[[#This Row],[Type of Service]],2000,3000,3500,4500,5000)*Tbl_2020[[#This Row],[No of Visits]]</f>
        <v>35000</v>
      </c>
    </row>
    <row r="319" spans="2:8" x14ac:dyDescent="0.3">
      <c r="B319" t="s">
        <v>330</v>
      </c>
      <c r="C319" t="s">
        <v>971</v>
      </c>
      <c r="D319" t="s">
        <v>4</v>
      </c>
      <c r="E319">
        <v>1</v>
      </c>
      <c r="F319" t="str">
        <f>+CHOOSE(Tbl_2020[[#This Row],[Type of Service]],"PEST","Disinfe","Rodent","Bird","Termite")</f>
        <v>PEST</v>
      </c>
      <c r="G319">
        <v>26</v>
      </c>
      <c r="H319" s="4">
        <f>+CHOOSE(Tbl_2020[[#This Row],[Type of Service]],2000,3000,3500,4500,5000)*Tbl_2020[[#This Row],[No of Visits]]</f>
        <v>52000</v>
      </c>
    </row>
    <row r="320" spans="2:8" x14ac:dyDescent="0.3">
      <c r="B320" t="s">
        <v>331</v>
      </c>
      <c r="C320" t="s">
        <v>886</v>
      </c>
      <c r="D320" t="s">
        <v>6</v>
      </c>
      <c r="E320">
        <v>1</v>
      </c>
      <c r="F320" t="str">
        <f>+CHOOSE(Tbl_2020[[#This Row],[Type of Service]],"PEST","Disinfe","Rodent","Bird","Termite")</f>
        <v>PEST</v>
      </c>
      <c r="G320">
        <v>22</v>
      </c>
      <c r="H320" s="4">
        <f>+CHOOSE(Tbl_2020[[#This Row],[Type of Service]],2000,3000,3500,4500,5000)*Tbl_2020[[#This Row],[No of Visits]]</f>
        <v>44000</v>
      </c>
    </row>
    <row r="321" spans="2:8" x14ac:dyDescent="0.3">
      <c r="B321" t="s">
        <v>332</v>
      </c>
      <c r="C321" t="s">
        <v>972</v>
      </c>
      <c r="D321" t="s">
        <v>8</v>
      </c>
      <c r="E321">
        <v>2</v>
      </c>
      <c r="F321" t="str">
        <f>+CHOOSE(Tbl_2020[[#This Row],[Type of Service]],"PEST","Disinfe","Rodent","Bird","Termite")</f>
        <v>Disinfe</v>
      </c>
      <c r="G321">
        <v>26</v>
      </c>
      <c r="H321" s="4">
        <f>+CHOOSE(Tbl_2020[[#This Row],[Type of Service]],2000,3000,3500,4500,5000)*Tbl_2020[[#This Row],[No of Visits]]</f>
        <v>78000</v>
      </c>
    </row>
    <row r="322" spans="2:8" x14ac:dyDescent="0.3">
      <c r="B322" t="s">
        <v>333</v>
      </c>
      <c r="C322" t="s">
        <v>973</v>
      </c>
      <c r="D322" t="s">
        <v>10</v>
      </c>
      <c r="E322">
        <v>2</v>
      </c>
      <c r="F322" t="str">
        <f>+CHOOSE(Tbl_2020[[#This Row],[Type of Service]],"PEST","Disinfe","Rodent","Bird","Termite")</f>
        <v>Disinfe</v>
      </c>
      <c r="G322">
        <v>5</v>
      </c>
      <c r="H322" s="4">
        <f>+CHOOSE(Tbl_2020[[#This Row],[Type of Service]],2000,3000,3500,4500,5000)*Tbl_2020[[#This Row],[No of Visits]]</f>
        <v>15000</v>
      </c>
    </row>
    <row r="323" spans="2:8" x14ac:dyDescent="0.3">
      <c r="B323" t="s">
        <v>334</v>
      </c>
      <c r="C323" t="s">
        <v>974</v>
      </c>
      <c r="D323" t="s">
        <v>12</v>
      </c>
      <c r="E323">
        <v>1</v>
      </c>
      <c r="F323" t="str">
        <f>+CHOOSE(Tbl_2020[[#This Row],[Type of Service]],"PEST","Disinfe","Rodent","Bird","Termite")</f>
        <v>PEST</v>
      </c>
      <c r="G323">
        <v>20</v>
      </c>
      <c r="H323" s="4">
        <f>+CHOOSE(Tbl_2020[[#This Row],[Type of Service]],2000,3000,3500,4500,5000)*Tbl_2020[[#This Row],[No of Visits]]</f>
        <v>40000</v>
      </c>
    </row>
    <row r="324" spans="2:8" x14ac:dyDescent="0.3">
      <c r="B324" t="s">
        <v>335</v>
      </c>
      <c r="C324" t="s">
        <v>975</v>
      </c>
      <c r="D324" t="s">
        <v>14</v>
      </c>
      <c r="E324">
        <v>3</v>
      </c>
      <c r="F324" t="str">
        <f>+CHOOSE(Tbl_2020[[#This Row],[Type of Service]],"PEST","Disinfe","Rodent","Bird","Termite")</f>
        <v>Rodent</v>
      </c>
      <c r="G324">
        <v>15</v>
      </c>
      <c r="H324" s="4">
        <f>+CHOOSE(Tbl_2020[[#This Row],[Type of Service]],2000,3000,3500,4500,5000)*Tbl_2020[[#This Row],[No of Visits]]</f>
        <v>52500</v>
      </c>
    </row>
    <row r="325" spans="2:8" x14ac:dyDescent="0.3">
      <c r="B325" t="s">
        <v>336</v>
      </c>
      <c r="C325" t="s">
        <v>976</v>
      </c>
      <c r="D325" t="s">
        <v>16</v>
      </c>
      <c r="E325">
        <v>1</v>
      </c>
      <c r="F325" t="str">
        <f>+CHOOSE(Tbl_2020[[#This Row],[Type of Service]],"PEST","Disinfe","Rodent","Bird","Termite")</f>
        <v>PEST</v>
      </c>
      <c r="G325">
        <v>14</v>
      </c>
      <c r="H325" s="4">
        <f>+CHOOSE(Tbl_2020[[#This Row],[Type of Service]],2000,3000,3500,4500,5000)*Tbl_2020[[#This Row],[No of Visits]]</f>
        <v>28000</v>
      </c>
    </row>
    <row r="326" spans="2:8" x14ac:dyDescent="0.3">
      <c r="B326" t="s">
        <v>337</v>
      </c>
      <c r="C326" t="s">
        <v>977</v>
      </c>
      <c r="D326" t="s">
        <v>4</v>
      </c>
      <c r="E326">
        <v>1</v>
      </c>
      <c r="F326" t="str">
        <f>+CHOOSE(Tbl_2020[[#This Row],[Type of Service]],"PEST","Disinfe","Rodent","Bird","Termite")</f>
        <v>PEST</v>
      </c>
      <c r="G326">
        <v>22</v>
      </c>
      <c r="H326" s="4">
        <f>+CHOOSE(Tbl_2020[[#This Row],[Type of Service]],2000,3000,3500,4500,5000)*Tbl_2020[[#This Row],[No of Visits]]</f>
        <v>44000</v>
      </c>
    </row>
    <row r="327" spans="2:8" x14ac:dyDescent="0.3">
      <c r="B327" t="s">
        <v>338</v>
      </c>
      <c r="C327" t="s">
        <v>978</v>
      </c>
      <c r="D327" t="s">
        <v>6</v>
      </c>
      <c r="E327">
        <v>3</v>
      </c>
      <c r="F327" t="str">
        <f>+CHOOSE(Tbl_2020[[#This Row],[Type of Service]],"PEST","Disinfe","Rodent","Bird","Termite")</f>
        <v>Rodent</v>
      </c>
      <c r="G327">
        <v>10</v>
      </c>
      <c r="H327" s="4">
        <f>+CHOOSE(Tbl_2020[[#This Row],[Type of Service]],2000,3000,3500,4500,5000)*Tbl_2020[[#This Row],[No of Visits]]</f>
        <v>35000</v>
      </c>
    </row>
    <row r="328" spans="2:8" x14ac:dyDescent="0.3">
      <c r="B328" t="s">
        <v>339</v>
      </c>
      <c r="C328" t="s">
        <v>979</v>
      </c>
      <c r="D328" t="s">
        <v>8</v>
      </c>
      <c r="E328">
        <v>2</v>
      </c>
      <c r="F328" t="str">
        <f>+CHOOSE(Tbl_2020[[#This Row],[Type of Service]],"PEST","Disinfe","Rodent","Bird","Termite")</f>
        <v>Disinfe</v>
      </c>
      <c r="G328">
        <v>21</v>
      </c>
      <c r="H328" s="4">
        <f>+CHOOSE(Tbl_2020[[#This Row],[Type of Service]],2000,3000,3500,4500,5000)*Tbl_2020[[#This Row],[No of Visits]]</f>
        <v>63000</v>
      </c>
    </row>
    <row r="329" spans="2:8" x14ac:dyDescent="0.3">
      <c r="B329" t="s">
        <v>340</v>
      </c>
      <c r="C329" t="s">
        <v>980</v>
      </c>
      <c r="D329" t="s">
        <v>10</v>
      </c>
      <c r="E329">
        <v>4</v>
      </c>
      <c r="F329" t="str">
        <f>+CHOOSE(Tbl_2020[[#This Row],[Type of Service]],"PEST","Disinfe","Rodent","Bird","Termite")</f>
        <v>Bird</v>
      </c>
      <c r="G329">
        <v>24</v>
      </c>
      <c r="H329" s="4">
        <f>+CHOOSE(Tbl_2020[[#This Row],[Type of Service]],2000,3000,3500,4500,5000)*Tbl_2020[[#This Row],[No of Visits]]</f>
        <v>108000</v>
      </c>
    </row>
    <row r="330" spans="2:8" x14ac:dyDescent="0.3">
      <c r="B330" t="s">
        <v>341</v>
      </c>
      <c r="C330" t="s">
        <v>981</v>
      </c>
      <c r="D330" t="s">
        <v>12</v>
      </c>
      <c r="E330">
        <v>4</v>
      </c>
      <c r="F330" t="str">
        <f>+CHOOSE(Tbl_2020[[#This Row],[Type of Service]],"PEST","Disinfe","Rodent","Bird","Termite")</f>
        <v>Bird</v>
      </c>
      <c r="G330">
        <v>21</v>
      </c>
      <c r="H330" s="4">
        <f>+CHOOSE(Tbl_2020[[#This Row],[Type of Service]],2000,3000,3500,4500,5000)*Tbl_2020[[#This Row],[No of Visits]]</f>
        <v>94500</v>
      </c>
    </row>
    <row r="331" spans="2:8" x14ac:dyDescent="0.3">
      <c r="B331" t="s">
        <v>342</v>
      </c>
      <c r="C331" t="s">
        <v>982</v>
      </c>
      <c r="D331" t="s">
        <v>14</v>
      </c>
      <c r="E331">
        <v>2</v>
      </c>
      <c r="F331" t="str">
        <f>+CHOOSE(Tbl_2020[[#This Row],[Type of Service]],"PEST","Disinfe","Rodent","Bird","Termite")</f>
        <v>Disinfe</v>
      </c>
      <c r="G331">
        <v>20</v>
      </c>
      <c r="H331" s="4">
        <f>+CHOOSE(Tbl_2020[[#This Row],[Type of Service]],2000,3000,3500,4500,5000)*Tbl_2020[[#This Row],[No of Visits]]</f>
        <v>60000</v>
      </c>
    </row>
    <row r="332" spans="2:8" x14ac:dyDescent="0.3">
      <c r="B332" t="s">
        <v>343</v>
      </c>
      <c r="C332" t="s">
        <v>983</v>
      </c>
      <c r="D332" t="s">
        <v>16</v>
      </c>
      <c r="E332">
        <v>2</v>
      </c>
      <c r="F332" t="str">
        <f>+CHOOSE(Tbl_2020[[#This Row],[Type of Service]],"PEST","Disinfe","Rodent","Bird","Termite")</f>
        <v>Disinfe</v>
      </c>
      <c r="G332">
        <v>9</v>
      </c>
      <c r="H332" s="4">
        <f>+CHOOSE(Tbl_2020[[#This Row],[Type of Service]],2000,3000,3500,4500,5000)*Tbl_2020[[#This Row],[No of Visits]]</f>
        <v>27000</v>
      </c>
    </row>
    <row r="333" spans="2:8" x14ac:dyDescent="0.3">
      <c r="B333" t="s">
        <v>344</v>
      </c>
      <c r="C333" t="s">
        <v>984</v>
      </c>
      <c r="D333" t="s">
        <v>4</v>
      </c>
      <c r="E333">
        <v>1</v>
      </c>
      <c r="F333" t="str">
        <f>+CHOOSE(Tbl_2020[[#This Row],[Type of Service]],"PEST","Disinfe","Rodent","Bird","Termite")</f>
        <v>PEST</v>
      </c>
      <c r="G333">
        <v>26</v>
      </c>
      <c r="H333" s="4">
        <f>+CHOOSE(Tbl_2020[[#This Row],[Type of Service]],2000,3000,3500,4500,5000)*Tbl_2020[[#This Row],[No of Visits]]</f>
        <v>52000</v>
      </c>
    </row>
    <row r="334" spans="2:8" x14ac:dyDescent="0.3">
      <c r="B334" t="s">
        <v>345</v>
      </c>
      <c r="C334" t="s">
        <v>985</v>
      </c>
      <c r="D334" t="s">
        <v>6</v>
      </c>
      <c r="E334">
        <v>4</v>
      </c>
      <c r="F334" t="str">
        <f>+CHOOSE(Tbl_2020[[#This Row],[Type of Service]],"PEST","Disinfe","Rodent","Bird","Termite")</f>
        <v>Bird</v>
      </c>
      <c r="G334">
        <v>20</v>
      </c>
      <c r="H334" s="4">
        <f>+CHOOSE(Tbl_2020[[#This Row],[Type of Service]],2000,3000,3500,4500,5000)*Tbl_2020[[#This Row],[No of Visits]]</f>
        <v>90000</v>
      </c>
    </row>
    <row r="335" spans="2:8" x14ac:dyDescent="0.3">
      <c r="B335" t="s">
        <v>346</v>
      </c>
      <c r="C335" t="s">
        <v>986</v>
      </c>
      <c r="D335" t="s">
        <v>8</v>
      </c>
      <c r="E335">
        <v>1</v>
      </c>
      <c r="F335" t="str">
        <f>+CHOOSE(Tbl_2020[[#This Row],[Type of Service]],"PEST","Disinfe","Rodent","Bird","Termite")</f>
        <v>PEST</v>
      </c>
      <c r="G335">
        <v>17</v>
      </c>
      <c r="H335" s="4">
        <f>+CHOOSE(Tbl_2020[[#This Row],[Type of Service]],2000,3000,3500,4500,5000)*Tbl_2020[[#This Row],[No of Visits]]</f>
        <v>34000</v>
      </c>
    </row>
    <row r="336" spans="2:8" x14ac:dyDescent="0.3">
      <c r="B336" t="s">
        <v>347</v>
      </c>
      <c r="C336" t="s">
        <v>987</v>
      </c>
      <c r="D336" t="s">
        <v>10</v>
      </c>
      <c r="E336">
        <v>1</v>
      </c>
      <c r="F336" t="str">
        <f>+CHOOSE(Tbl_2020[[#This Row],[Type of Service]],"PEST","Disinfe","Rodent","Bird","Termite")</f>
        <v>PEST</v>
      </c>
      <c r="G336">
        <v>27</v>
      </c>
      <c r="H336" s="4">
        <f>+CHOOSE(Tbl_2020[[#This Row],[Type of Service]],2000,3000,3500,4500,5000)*Tbl_2020[[#This Row],[No of Visits]]</f>
        <v>54000</v>
      </c>
    </row>
    <row r="337" spans="2:8" x14ac:dyDescent="0.3">
      <c r="B337" t="s">
        <v>348</v>
      </c>
      <c r="C337" t="s">
        <v>988</v>
      </c>
      <c r="D337" t="s">
        <v>12</v>
      </c>
      <c r="E337">
        <v>1</v>
      </c>
      <c r="F337" t="str">
        <f>+CHOOSE(Tbl_2020[[#This Row],[Type of Service]],"PEST","Disinfe","Rodent","Bird","Termite")</f>
        <v>PEST</v>
      </c>
      <c r="G337">
        <v>21</v>
      </c>
      <c r="H337" s="4">
        <f>+CHOOSE(Tbl_2020[[#This Row],[Type of Service]],2000,3000,3500,4500,5000)*Tbl_2020[[#This Row],[No of Visits]]</f>
        <v>42000</v>
      </c>
    </row>
    <row r="338" spans="2:8" x14ac:dyDescent="0.3">
      <c r="B338" t="s">
        <v>349</v>
      </c>
      <c r="C338" t="s">
        <v>989</v>
      </c>
      <c r="D338" t="s">
        <v>14</v>
      </c>
      <c r="E338">
        <v>3</v>
      </c>
      <c r="F338" t="str">
        <f>+CHOOSE(Tbl_2020[[#This Row],[Type of Service]],"PEST","Disinfe","Rodent","Bird","Termite")</f>
        <v>Rodent</v>
      </c>
      <c r="G338">
        <v>9</v>
      </c>
      <c r="H338" s="4">
        <f>+CHOOSE(Tbl_2020[[#This Row],[Type of Service]],2000,3000,3500,4500,5000)*Tbl_2020[[#This Row],[No of Visits]]</f>
        <v>31500</v>
      </c>
    </row>
    <row r="339" spans="2:8" x14ac:dyDescent="0.3">
      <c r="B339" t="s">
        <v>350</v>
      </c>
      <c r="C339" t="s">
        <v>990</v>
      </c>
      <c r="D339" t="s">
        <v>16</v>
      </c>
      <c r="E339">
        <v>2</v>
      </c>
      <c r="F339" t="str">
        <f>+CHOOSE(Tbl_2020[[#This Row],[Type of Service]],"PEST","Disinfe","Rodent","Bird","Termite")</f>
        <v>Disinfe</v>
      </c>
      <c r="G339">
        <v>1</v>
      </c>
      <c r="H339" s="4">
        <f>+CHOOSE(Tbl_2020[[#This Row],[Type of Service]],2000,3000,3500,4500,5000)*Tbl_2020[[#This Row],[No of Visits]]</f>
        <v>3000</v>
      </c>
    </row>
    <row r="340" spans="2:8" x14ac:dyDescent="0.3">
      <c r="B340" t="s">
        <v>351</v>
      </c>
      <c r="C340" t="s">
        <v>991</v>
      </c>
      <c r="D340" t="s">
        <v>4</v>
      </c>
      <c r="E340">
        <v>1</v>
      </c>
      <c r="F340" t="str">
        <f>+CHOOSE(Tbl_2020[[#This Row],[Type of Service]],"PEST","Disinfe","Rodent","Bird","Termite")</f>
        <v>PEST</v>
      </c>
      <c r="G340">
        <v>8</v>
      </c>
      <c r="H340" s="4">
        <f>+CHOOSE(Tbl_2020[[#This Row],[Type of Service]],2000,3000,3500,4500,5000)*Tbl_2020[[#This Row],[No of Visits]]</f>
        <v>16000</v>
      </c>
    </row>
    <row r="341" spans="2:8" x14ac:dyDescent="0.3">
      <c r="B341" t="s">
        <v>352</v>
      </c>
      <c r="C341" t="s">
        <v>992</v>
      </c>
      <c r="D341" t="s">
        <v>6</v>
      </c>
      <c r="E341">
        <v>1</v>
      </c>
      <c r="F341" t="str">
        <f>+CHOOSE(Tbl_2020[[#This Row],[Type of Service]],"PEST","Disinfe","Rodent","Bird","Termite")</f>
        <v>PEST</v>
      </c>
      <c r="G341">
        <v>12</v>
      </c>
      <c r="H341" s="4">
        <f>+CHOOSE(Tbl_2020[[#This Row],[Type of Service]],2000,3000,3500,4500,5000)*Tbl_2020[[#This Row],[No of Visits]]</f>
        <v>24000</v>
      </c>
    </row>
    <row r="342" spans="2:8" x14ac:dyDescent="0.3">
      <c r="B342" t="s">
        <v>353</v>
      </c>
      <c r="C342" t="s">
        <v>993</v>
      </c>
      <c r="D342" t="s">
        <v>8</v>
      </c>
      <c r="E342">
        <v>2</v>
      </c>
      <c r="F342" t="str">
        <f>+CHOOSE(Tbl_2020[[#This Row],[Type of Service]],"PEST","Disinfe","Rodent","Bird","Termite")</f>
        <v>Disinfe</v>
      </c>
      <c r="G342">
        <v>2</v>
      </c>
      <c r="H342" s="4">
        <f>+CHOOSE(Tbl_2020[[#This Row],[Type of Service]],2000,3000,3500,4500,5000)*Tbl_2020[[#This Row],[No of Visits]]</f>
        <v>6000</v>
      </c>
    </row>
    <row r="343" spans="2:8" x14ac:dyDescent="0.3">
      <c r="B343" t="s">
        <v>354</v>
      </c>
      <c r="C343" t="s">
        <v>994</v>
      </c>
      <c r="D343" t="s">
        <v>10</v>
      </c>
      <c r="E343">
        <v>3</v>
      </c>
      <c r="F343" t="str">
        <f>+CHOOSE(Tbl_2020[[#This Row],[Type of Service]],"PEST","Disinfe","Rodent","Bird","Termite")</f>
        <v>Rodent</v>
      </c>
      <c r="G343">
        <v>29</v>
      </c>
      <c r="H343" s="4">
        <f>+CHOOSE(Tbl_2020[[#This Row],[Type of Service]],2000,3000,3500,4500,5000)*Tbl_2020[[#This Row],[No of Visits]]</f>
        <v>101500</v>
      </c>
    </row>
    <row r="344" spans="2:8" x14ac:dyDescent="0.3">
      <c r="B344" t="s">
        <v>355</v>
      </c>
      <c r="C344" t="s">
        <v>995</v>
      </c>
      <c r="D344" t="s">
        <v>12</v>
      </c>
      <c r="E344">
        <v>2</v>
      </c>
      <c r="F344" t="str">
        <f>+CHOOSE(Tbl_2020[[#This Row],[Type of Service]],"PEST","Disinfe","Rodent","Bird","Termite")</f>
        <v>Disinfe</v>
      </c>
      <c r="G344">
        <v>12</v>
      </c>
      <c r="H344" s="4">
        <f>+CHOOSE(Tbl_2020[[#This Row],[Type of Service]],2000,3000,3500,4500,5000)*Tbl_2020[[#This Row],[No of Visits]]</f>
        <v>36000</v>
      </c>
    </row>
    <row r="345" spans="2:8" x14ac:dyDescent="0.3">
      <c r="B345" t="s">
        <v>356</v>
      </c>
      <c r="C345" t="s">
        <v>996</v>
      </c>
      <c r="D345" t="s">
        <v>14</v>
      </c>
      <c r="E345">
        <v>3</v>
      </c>
      <c r="F345" t="str">
        <f>+CHOOSE(Tbl_2020[[#This Row],[Type of Service]],"PEST","Disinfe","Rodent","Bird","Termite")</f>
        <v>Rodent</v>
      </c>
      <c r="G345">
        <v>12</v>
      </c>
      <c r="H345" s="4">
        <f>+CHOOSE(Tbl_2020[[#This Row],[Type of Service]],2000,3000,3500,4500,5000)*Tbl_2020[[#This Row],[No of Visits]]</f>
        <v>42000</v>
      </c>
    </row>
    <row r="346" spans="2:8" x14ac:dyDescent="0.3">
      <c r="B346" t="s">
        <v>357</v>
      </c>
      <c r="C346" t="s">
        <v>997</v>
      </c>
      <c r="D346" t="s">
        <v>16</v>
      </c>
      <c r="E346">
        <v>1</v>
      </c>
      <c r="F346" t="str">
        <f>+CHOOSE(Tbl_2020[[#This Row],[Type of Service]],"PEST","Disinfe","Rodent","Bird","Termite")</f>
        <v>PEST</v>
      </c>
      <c r="G346">
        <v>27</v>
      </c>
      <c r="H346" s="4">
        <f>+CHOOSE(Tbl_2020[[#This Row],[Type of Service]],2000,3000,3500,4500,5000)*Tbl_2020[[#This Row],[No of Visits]]</f>
        <v>54000</v>
      </c>
    </row>
    <row r="347" spans="2:8" x14ac:dyDescent="0.3">
      <c r="B347" t="s">
        <v>358</v>
      </c>
      <c r="C347" t="s">
        <v>998</v>
      </c>
      <c r="D347" t="s">
        <v>4</v>
      </c>
      <c r="E347">
        <v>1</v>
      </c>
      <c r="F347" t="str">
        <f>+CHOOSE(Tbl_2020[[#This Row],[Type of Service]],"PEST","Disinfe","Rodent","Bird","Termite")</f>
        <v>PEST</v>
      </c>
      <c r="G347">
        <v>25</v>
      </c>
      <c r="H347" s="4">
        <f>+CHOOSE(Tbl_2020[[#This Row],[Type of Service]],2000,3000,3500,4500,5000)*Tbl_2020[[#This Row],[No of Visits]]</f>
        <v>50000</v>
      </c>
    </row>
    <row r="348" spans="2:8" x14ac:dyDescent="0.3">
      <c r="B348" t="s">
        <v>359</v>
      </c>
      <c r="C348" t="s">
        <v>951</v>
      </c>
      <c r="D348" t="s">
        <v>6</v>
      </c>
      <c r="E348">
        <v>1</v>
      </c>
      <c r="F348" t="str">
        <f>+CHOOSE(Tbl_2020[[#This Row],[Type of Service]],"PEST","Disinfe","Rodent","Bird","Termite")</f>
        <v>PEST</v>
      </c>
      <c r="G348">
        <v>14</v>
      </c>
      <c r="H348" s="4">
        <f>+CHOOSE(Tbl_2020[[#This Row],[Type of Service]],2000,3000,3500,4500,5000)*Tbl_2020[[#This Row],[No of Visits]]</f>
        <v>28000</v>
      </c>
    </row>
    <row r="349" spans="2:8" x14ac:dyDescent="0.3">
      <c r="B349" t="s">
        <v>360</v>
      </c>
      <c r="C349" t="s">
        <v>999</v>
      </c>
      <c r="D349" t="s">
        <v>8</v>
      </c>
      <c r="E349">
        <v>2</v>
      </c>
      <c r="F349" t="str">
        <f>+CHOOSE(Tbl_2020[[#This Row],[Type of Service]],"PEST","Disinfe","Rodent","Bird","Termite")</f>
        <v>Disinfe</v>
      </c>
      <c r="G349">
        <v>5</v>
      </c>
      <c r="H349" s="4">
        <f>+CHOOSE(Tbl_2020[[#This Row],[Type of Service]],2000,3000,3500,4500,5000)*Tbl_2020[[#This Row],[No of Visits]]</f>
        <v>15000</v>
      </c>
    </row>
    <row r="350" spans="2:8" x14ac:dyDescent="0.3">
      <c r="B350" t="s">
        <v>361</v>
      </c>
      <c r="C350" t="s">
        <v>1000</v>
      </c>
      <c r="D350" t="s">
        <v>10</v>
      </c>
      <c r="E350">
        <v>4</v>
      </c>
      <c r="F350" t="str">
        <f>+CHOOSE(Tbl_2020[[#This Row],[Type of Service]],"PEST","Disinfe","Rodent","Bird","Termite")</f>
        <v>Bird</v>
      </c>
      <c r="G350">
        <v>2</v>
      </c>
      <c r="H350" s="4">
        <f>+CHOOSE(Tbl_2020[[#This Row],[Type of Service]],2000,3000,3500,4500,5000)*Tbl_2020[[#This Row],[No of Visits]]</f>
        <v>9000</v>
      </c>
    </row>
    <row r="351" spans="2:8" x14ac:dyDescent="0.3">
      <c r="B351" t="s">
        <v>362</v>
      </c>
      <c r="C351" t="s">
        <v>985</v>
      </c>
      <c r="D351" t="s">
        <v>12</v>
      </c>
      <c r="E351">
        <v>3</v>
      </c>
      <c r="F351" t="str">
        <f>+CHOOSE(Tbl_2020[[#This Row],[Type of Service]],"PEST","Disinfe","Rodent","Bird","Termite")</f>
        <v>Rodent</v>
      </c>
      <c r="G351">
        <v>4</v>
      </c>
      <c r="H351" s="4">
        <f>+CHOOSE(Tbl_2020[[#This Row],[Type of Service]],2000,3000,3500,4500,5000)*Tbl_2020[[#This Row],[No of Visits]]</f>
        <v>14000</v>
      </c>
    </row>
    <row r="352" spans="2:8" x14ac:dyDescent="0.3">
      <c r="B352" t="s">
        <v>363</v>
      </c>
      <c r="C352" t="s">
        <v>1001</v>
      </c>
      <c r="D352" t="s">
        <v>14</v>
      </c>
      <c r="E352">
        <v>3</v>
      </c>
      <c r="F352" t="str">
        <f>+CHOOSE(Tbl_2020[[#This Row],[Type of Service]],"PEST","Disinfe","Rodent","Bird","Termite")</f>
        <v>Rodent</v>
      </c>
      <c r="G352">
        <v>27</v>
      </c>
      <c r="H352" s="4">
        <f>+CHOOSE(Tbl_2020[[#This Row],[Type of Service]],2000,3000,3500,4500,5000)*Tbl_2020[[#This Row],[No of Visits]]</f>
        <v>94500</v>
      </c>
    </row>
    <row r="353" spans="2:8" x14ac:dyDescent="0.3">
      <c r="B353" t="s">
        <v>364</v>
      </c>
      <c r="C353" t="s">
        <v>1002</v>
      </c>
      <c r="D353" t="s">
        <v>16</v>
      </c>
      <c r="E353">
        <v>4</v>
      </c>
      <c r="F353" t="str">
        <f>+CHOOSE(Tbl_2020[[#This Row],[Type of Service]],"PEST","Disinfe","Rodent","Bird","Termite")</f>
        <v>Bird</v>
      </c>
      <c r="G353">
        <v>2</v>
      </c>
      <c r="H353" s="4">
        <f>+CHOOSE(Tbl_2020[[#This Row],[Type of Service]],2000,3000,3500,4500,5000)*Tbl_2020[[#This Row],[No of Visits]]</f>
        <v>9000</v>
      </c>
    </row>
    <row r="354" spans="2:8" x14ac:dyDescent="0.3">
      <c r="B354" t="s">
        <v>365</v>
      </c>
      <c r="C354" t="s">
        <v>1003</v>
      </c>
      <c r="D354" t="s">
        <v>4</v>
      </c>
      <c r="E354">
        <v>1</v>
      </c>
      <c r="F354" t="str">
        <f>+CHOOSE(Tbl_2020[[#This Row],[Type of Service]],"PEST","Disinfe","Rodent","Bird","Termite")</f>
        <v>PEST</v>
      </c>
      <c r="G354">
        <v>12</v>
      </c>
      <c r="H354" s="4">
        <f>+CHOOSE(Tbl_2020[[#This Row],[Type of Service]],2000,3000,3500,4500,5000)*Tbl_2020[[#This Row],[No of Visits]]</f>
        <v>24000</v>
      </c>
    </row>
    <row r="355" spans="2:8" x14ac:dyDescent="0.3">
      <c r="B355" t="s">
        <v>366</v>
      </c>
      <c r="C355" t="s">
        <v>1004</v>
      </c>
      <c r="D355" t="s">
        <v>6</v>
      </c>
      <c r="E355">
        <v>4</v>
      </c>
      <c r="F355" t="str">
        <f>+CHOOSE(Tbl_2020[[#This Row],[Type of Service]],"PEST","Disinfe","Rodent","Bird","Termite")</f>
        <v>Bird</v>
      </c>
      <c r="G355">
        <v>21</v>
      </c>
      <c r="H355" s="4">
        <f>+CHOOSE(Tbl_2020[[#This Row],[Type of Service]],2000,3000,3500,4500,5000)*Tbl_2020[[#This Row],[No of Visits]]</f>
        <v>94500</v>
      </c>
    </row>
    <row r="356" spans="2:8" x14ac:dyDescent="0.3">
      <c r="B356" t="s">
        <v>367</v>
      </c>
      <c r="C356" t="s">
        <v>727</v>
      </c>
      <c r="D356" t="s">
        <v>8</v>
      </c>
      <c r="E356">
        <v>2</v>
      </c>
      <c r="F356" t="str">
        <f>+CHOOSE(Tbl_2020[[#This Row],[Type of Service]],"PEST","Disinfe","Rodent","Bird","Termite")</f>
        <v>Disinfe</v>
      </c>
      <c r="G356">
        <v>24</v>
      </c>
      <c r="H356" s="4">
        <f>+CHOOSE(Tbl_2020[[#This Row],[Type of Service]],2000,3000,3500,4500,5000)*Tbl_2020[[#This Row],[No of Visits]]</f>
        <v>72000</v>
      </c>
    </row>
    <row r="357" spans="2:8" x14ac:dyDescent="0.3">
      <c r="B357" t="s">
        <v>368</v>
      </c>
      <c r="C357" t="s">
        <v>1005</v>
      </c>
      <c r="D357" t="s">
        <v>10</v>
      </c>
      <c r="E357">
        <v>3</v>
      </c>
      <c r="F357" t="str">
        <f>+CHOOSE(Tbl_2020[[#This Row],[Type of Service]],"PEST","Disinfe","Rodent","Bird","Termite")</f>
        <v>Rodent</v>
      </c>
      <c r="G357">
        <v>5</v>
      </c>
      <c r="H357" s="4">
        <f>+CHOOSE(Tbl_2020[[#This Row],[Type of Service]],2000,3000,3500,4500,5000)*Tbl_2020[[#This Row],[No of Visits]]</f>
        <v>17500</v>
      </c>
    </row>
    <row r="358" spans="2:8" x14ac:dyDescent="0.3">
      <c r="B358" t="s">
        <v>369</v>
      </c>
      <c r="C358" t="s">
        <v>1006</v>
      </c>
      <c r="D358" t="s">
        <v>12</v>
      </c>
      <c r="E358">
        <v>2</v>
      </c>
      <c r="F358" t="str">
        <f>+CHOOSE(Tbl_2020[[#This Row],[Type of Service]],"PEST","Disinfe","Rodent","Bird","Termite")</f>
        <v>Disinfe</v>
      </c>
      <c r="G358">
        <v>19</v>
      </c>
      <c r="H358" s="4">
        <f>+CHOOSE(Tbl_2020[[#This Row],[Type of Service]],2000,3000,3500,4500,5000)*Tbl_2020[[#This Row],[No of Visits]]</f>
        <v>57000</v>
      </c>
    </row>
    <row r="359" spans="2:8" x14ac:dyDescent="0.3">
      <c r="B359" t="s">
        <v>370</v>
      </c>
      <c r="C359" t="s">
        <v>1007</v>
      </c>
      <c r="D359" t="s">
        <v>14</v>
      </c>
      <c r="E359">
        <v>4</v>
      </c>
      <c r="F359" t="str">
        <f>+CHOOSE(Tbl_2020[[#This Row],[Type of Service]],"PEST","Disinfe","Rodent","Bird","Termite")</f>
        <v>Bird</v>
      </c>
      <c r="G359">
        <v>11</v>
      </c>
      <c r="H359" s="4">
        <f>+CHOOSE(Tbl_2020[[#This Row],[Type of Service]],2000,3000,3500,4500,5000)*Tbl_2020[[#This Row],[No of Visits]]</f>
        <v>49500</v>
      </c>
    </row>
    <row r="360" spans="2:8" x14ac:dyDescent="0.3">
      <c r="B360" t="s">
        <v>371</v>
      </c>
      <c r="C360" t="s">
        <v>1008</v>
      </c>
      <c r="D360" t="s">
        <v>16</v>
      </c>
      <c r="E360">
        <v>4</v>
      </c>
      <c r="F360" t="str">
        <f>+CHOOSE(Tbl_2020[[#This Row],[Type of Service]],"PEST","Disinfe","Rodent","Bird","Termite")</f>
        <v>Bird</v>
      </c>
      <c r="G360">
        <v>5</v>
      </c>
      <c r="H360" s="4">
        <f>+CHOOSE(Tbl_2020[[#This Row],[Type of Service]],2000,3000,3500,4500,5000)*Tbl_2020[[#This Row],[No of Visits]]</f>
        <v>22500</v>
      </c>
    </row>
    <row r="361" spans="2:8" x14ac:dyDescent="0.3">
      <c r="B361" t="s">
        <v>372</v>
      </c>
      <c r="C361" t="s">
        <v>1009</v>
      </c>
      <c r="D361" t="s">
        <v>4</v>
      </c>
      <c r="E361">
        <v>4</v>
      </c>
      <c r="F361" t="str">
        <f>+CHOOSE(Tbl_2020[[#This Row],[Type of Service]],"PEST","Disinfe","Rodent","Bird","Termite")</f>
        <v>Bird</v>
      </c>
      <c r="G361">
        <v>4</v>
      </c>
      <c r="H361" s="4">
        <f>+CHOOSE(Tbl_2020[[#This Row],[Type of Service]],2000,3000,3500,4500,5000)*Tbl_2020[[#This Row],[No of Visits]]</f>
        <v>18000</v>
      </c>
    </row>
    <row r="362" spans="2:8" x14ac:dyDescent="0.3">
      <c r="B362" t="s">
        <v>373</v>
      </c>
      <c r="C362" t="s">
        <v>1010</v>
      </c>
      <c r="D362" t="s">
        <v>6</v>
      </c>
      <c r="E362">
        <v>2</v>
      </c>
      <c r="F362" t="str">
        <f>+CHOOSE(Tbl_2020[[#This Row],[Type of Service]],"PEST","Disinfe","Rodent","Bird","Termite")</f>
        <v>Disinfe</v>
      </c>
      <c r="G362">
        <v>17</v>
      </c>
      <c r="H362" s="4">
        <f>+CHOOSE(Tbl_2020[[#This Row],[Type of Service]],2000,3000,3500,4500,5000)*Tbl_2020[[#This Row],[No of Visits]]</f>
        <v>51000</v>
      </c>
    </row>
    <row r="363" spans="2:8" x14ac:dyDescent="0.3">
      <c r="B363" t="s">
        <v>374</v>
      </c>
      <c r="C363" t="s">
        <v>953</v>
      </c>
      <c r="D363" t="s">
        <v>8</v>
      </c>
      <c r="E363">
        <v>1</v>
      </c>
      <c r="F363" t="str">
        <f>+CHOOSE(Tbl_2020[[#This Row],[Type of Service]],"PEST","Disinfe","Rodent","Bird","Termite")</f>
        <v>PEST</v>
      </c>
      <c r="G363">
        <v>16</v>
      </c>
      <c r="H363" s="4">
        <f>+CHOOSE(Tbl_2020[[#This Row],[Type of Service]],2000,3000,3500,4500,5000)*Tbl_2020[[#This Row],[No of Visits]]</f>
        <v>32000</v>
      </c>
    </row>
    <row r="364" spans="2:8" x14ac:dyDescent="0.3">
      <c r="B364" t="s">
        <v>375</v>
      </c>
      <c r="C364" t="s">
        <v>962</v>
      </c>
      <c r="D364" t="s">
        <v>10</v>
      </c>
      <c r="E364">
        <v>4</v>
      </c>
      <c r="F364" t="str">
        <f>+CHOOSE(Tbl_2020[[#This Row],[Type of Service]],"PEST","Disinfe","Rodent","Bird","Termite")</f>
        <v>Bird</v>
      </c>
      <c r="G364">
        <v>6</v>
      </c>
      <c r="H364" s="4">
        <f>+CHOOSE(Tbl_2020[[#This Row],[Type of Service]],2000,3000,3500,4500,5000)*Tbl_2020[[#This Row],[No of Visits]]</f>
        <v>27000</v>
      </c>
    </row>
    <row r="365" spans="2:8" x14ac:dyDescent="0.3">
      <c r="B365" t="s">
        <v>376</v>
      </c>
      <c r="C365" t="s">
        <v>1011</v>
      </c>
      <c r="D365" t="s">
        <v>12</v>
      </c>
      <c r="E365">
        <v>3</v>
      </c>
      <c r="F365" t="str">
        <f>+CHOOSE(Tbl_2020[[#This Row],[Type of Service]],"PEST","Disinfe","Rodent","Bird","Termite")</f>
        <v>Rodent</v>
      </c>
      <c r="G365">
        <v>2</v>
      </c>
      <c r="H365" s="4">
        <f>+CHOOSE(Tbl_2020[[#This Row],[Type of Service]],2000,3000,3500,4500,5000)*Tbl_2020[[#This Row],[No of Visits]]</f>
        <v>7000</v>
      </c>
    </row>
    <row r="366" spans="2:8" x14ac:dyDescent="0.3">
      <c r="B366" t="s">
        <v>377</v>
      </c>
      <c r="C366" t="s">
        <v>1012</v>
      </c>
      <c r="D366" t="s">
        <v>14</v>
      </c>
      <c r="E366">
        <v>2</v>
      </c>
      <c r="F366" t="str">
        <f>+CHOOSE(Tbl_2020[[#This Row],[Type of Service]],"PEST","Disinfe","Rodent","Bird","Termite")</f>
        <v>Disinfe</v>
      </c>
      <c r="G366">
        <v>24</v>
      </c>
      <c r="H366" s="4">
        <f>+CHOOSE(Tbl_2020[[#This Row],[Type of Service]],2000,3000,3500,4500,5000)*Tbl_2020[[#This Row],[No of Visits]]</f>
        <v>72000</v>
      </c>
    </row>
    <row r="367" spans="2:8" x14ac:dyDescent="0.3">
      <c r="B367" t="s">
        <v>378</v>
      </c>
      <c r="C367" t="s">
        <v>1013</v>
      </c>
      <c r="D367" t="s">
        <v>16</v>
      </c>
      <c r="E367">
        <v>3</v>
      </c>
      <c r="F367" t="str">
        <f>+CHOOSE(Tbl_2020[[#This Row],[Type of Service]],"PEST","Disinfe","Rodent","Bird","Termite")</f>
        <v>Rodent</v>
      </c>
      <c r="G367">
        <v>22</v>
      </c>
      <c r="H367" s="4">
        <f>+CHOOSE(Tbl_2020[[#This Row],[Type of Service]],2000,3000,3500,4500,5000)*Tbl_2020[[#This Row],[No of Visits]]</f>
        <v>77000</v>
      </c>
    </row>
    <row r="368" spans="2:8" x14ac:dyDescent="0.3">
      <c r="B368" t="s">
        <v>379</v>
      </c>
      <c r="C368" t="s">
        <v>1014</v>
      </c>
      <c r="D368" t="s">
        <v>4</v>
      </c>
      <c r="E368">
        <v>4</v>
      </c>
      <c r="F368" t="str">
        <f>+CHOOSE(Tbl_2020[[#This Row],[Type of Service]],"PEST","Disinfe","Rodent","Bird","Termite")</f>
        <v>Bird</v>
      </c>
      <c r="G368">
        <v>18</v>
      </c>
      <c r="H368" s="4">
        <f>+CHOOSE(Tbl_2020[[#This Row],[Type of Service]],2000,3000,3500,4500,5000)*Tbl_2020[[#This Row],[No of Visits]]</f>
        <v>81000</v>
      </c>
    </row>
    <row r="369" spans="2:8" x14ac:dyDescent="0.3">
      <c r="B369" t="s">
        <v>380</v>
      </c>
      <c r="C369" t="s">
        <v>1015</v>
      </c>
      <c r="D369" t="s">
        <v>6</v>
      </c>
      <c r="E369">
        <v>1</v>
      </c>
      <c r="F369" t="str">
        <f>+CHOOSE(Tbl_2020[[#This Row],[Type of Service]],"PEST","Disinfe","Rodent","Bird","Termite")</f>
        <v>PEST</v>
      </c>
      <c r="G369">
        <v>21</v>
      </c>
      <c r="H369" s="4">
        <f>+CHOOSE(Tbl_2020[[#This Row],[Type of Service]],2000,3000,3500,4500,5000)*Tbl_2020[[#This Row],[No of Visits]]</f>
        <v>42000</v>
      </c>
    </row>
    <row r="370" spans="2:8" x14ac:dyDescent="0.3">
      <c r="B370" t="s">
        <v>381</v>
      </c>
      <c r="C370" t="s">
        <v>1016</v>
      </c>
      <c r="D370" t="s">
        <v>8</v>
      </c>
      <c r="E370">
        <v>2</v>
      </c>
      <c r="F370" t="str">
        <f>+CHOOSE(Tbl_2020[[#This Row],[Type of Service]],"PEST","Disinfe","Rodent","Bird","Termite")</f>
        <v>Disinfe</v>
      </c>
      <c r="G370">
        <v>2</v>
      </c>
      <c r="H370" s="4">
        <f>+CHOOSE(Tbl_2020[[#This Row],[Type of Service]],2000,3000,3500,4500,5000)*Tbl_2020[[#This Row],[No of Visits]]</f>
        <v>6000</v>
      </c>
    </row>
    <row r="371" spans="2:8" x14ac:dyDescent="0.3">
      <c r="B371" t="s">
        <v>382</v>
      </c>
      <c r="C371" t="s">
        <v>1017</v>
      </c>
      <c r="D371" t="s">
        <v>10</v>
      </c>
      <c r="E371">
        <v>3</v>
      </c>
      <c r="F371" t="str">
        <f>+CHOOSE(Tbl_2020[[#This Row],[Type of Service]],"PEST","Disinfe","Rodent","Bird","Termite")</f>
        <v>Rodent</v>
      </c>
      <c r="G371">
        <v>2</v>
      </c>
      <c r="H371" s="4">
        <f>+CHOOSE(Tbl_2020[[#This Row],[Type of Service]],2000,3000,3500,4500,5000)*Tbl_2020[[#This Row],[No of Visits]]</f>
        <v>7000</v>
      </c>
    </row>
    <row r="372" spans="2:8" x14ac:dyDescent="0.3">
      <c r="B372" t="s">
        <v>383</v>
      </c>
      <c r="C372" t="s">
        <v>1018</v>
      </c>
      <c r="D372" t="s">
        <v>12</v>
      </c>
      <c r="E372">
        <v>4</v>
      </c>
      <c r="F372" t="str">
        <f>+CHOOSE(Tbl_2020[[#This Row],[Type of Service]],"PEST","Disinfe","Rodent","Bird","Termite")</f>
        <v>Bird</v>
      </c>
      <c r="G372">
        <v>4</v>
      </c>
      <c r="H372" s="4">
        <f>+CHOOSE(Tbl_2020[[#This Row],[Type of Service]],2000,3000,3500,4500,5000)*Tbl_2020[[#This Row],[No of Visits]]</f>
        <v>18000</v>
      </c>
    </row>
    <row r="373" spans="2:8" x14ac:dyDescent="0.3">
      <c r="B373" t="s">
        <v>384</v>
      </c>
      <c r="C373" t="s">
        <v>1019</v>
      </c>
      <c r="D373" t="s">
        <v>14</v>
      </c>
      <c r="E373">
        <v>4</v>
      </c>
      <c r="F373" t="str">
        <f>+CHOOSE(Tbl_2020[[#This Row],[Type of Service]],"PEST","Disinfe","Rodent","Bird","Termite")</f>
        <v>Bird</v>
      </c>
      <c r="G373">
        <v>10</v>
      </c>
      <c r="H373" s="4">
        <f>+CHOOSE(Tbl_2020[[#This Row],[Type of Service]],2000,3000,3500,4500,5000)*Tbl_2020[[#This Row],[No of Visits]]</f>
        <v>45000</v>
      </c>
    </row>
    <row r="374" spans="2:8" x14ac:dyDescent="0.3">
      <c r="B374" t="s">
        <v>385</v>
      </c>
      <c r="C374" t="s">
        <v>1020</v>
      </c>
      <c r="D374" t="s">
        <v>16</v>
      </c>
      <c r="E374">
        <v>1</v>
      </c>
      <c r="F374" t="str">
        <f>+CHOOSE(Tbl_2020[[#This Row],[Type of Service]],"PEST","Disinfe","Rodent","Bird","Termite")</f>
        <v>PEST</v>
      </c>
      <c r="G374">
        <v>17</v>
      </c>
      <c r="H374" s="4">
        <f>+CHOOSE(Tbl_2020[[#This Row],[Type of Service]],2000,3000,3500,4500,5000)*Tbl_2020[[#This Row],[No of Visits]]</f>
        <v>34000</v>
      </c>
    </row>
    <row r="375" spans="2:8" x14ac:dyDescent="0.3">
      <c r="B375" t="s">
        <v>386</v>
      </c>
      <c r="C375" t="s">
        <v>1021</v>
      </c>
      <c r="D375" t="s">
        <v>4</v>
      </c>
      <c r="E375">
        <v>2</v>
      </c>
      <c r="F375" t="str">
        <f>+CHOOSE(Tbl_2020[[#This Row],[Type of Service]],"PEST","Disinfe","Rodent","Bird","Termite")</f>
        <v>Disinfe</v>
      </c>
      <c r="G375">
        <v>24</v>
      </c>
      <c r="H375" s="4">
        <f>+CHOOSE(Tbl_2020[[#This Row],[Type of Service]],2000,3000,3500,4500,5000)*Tbl_2020[[#This Row],[No of Visits]]</f>
        <v>72000</v>
      </c>
    </row>
    <row r="376" spans="2:8" x14ac:dyDescent="0.3">
      <c r="B376" t="s">
        <v>387</v>
      </c>
      <c r="C376" t="s">
        <v>827</v>
      </c>
      <c r="D376" t="s">
        <v>6</v>
      </c>
      <c r="E376">
        <v>3</v>
      </c>
      <c r="F376" t="str">
        <f>+CHOOSE(Tbl_2020[[#This Row],[Type of Service]],"PEST","Disinfe","Rodent","Bird","Termite")</f>
        <v>Rodent</v>
      </c>
      <c r="G376">
        <v>5</v>
      </c>
      <c r="H376" s="4">
        <f>+CHOOSE(Tbl_2020[[#This Row],[Type of Service]],2000,3000,3500,4500,5000)*Tbl_2020[[#This Row],[No of Visits]]</f>
        <v>17500</v>
      </c>
    </row>
    <row r="377" spans="2:8" x14ac:dyDescent="0.3">
      <c r="B377" t="s">
        <v>388</v>
      </c>
      <c r="C377" t="s">
        <v>1022</v>
      </c>
      <c r="D377" t="s">
        <v>8</v>
      </c>
      <c r="E377">
        <v>3</v>
      </c>
      <c r="F377" t="str">
        <f>+CHOOSE(Tbl_2020[[#This Row],[Type of Service]],"PEST","Disinfe","Rodent","Bird","Termite")</f>
        <v>Rodent</v>
      </c>
      <c r="G377">
        <v>20</v>
      </c>
      <c r="H377" s="4">
        <f>+CHOOSE(Tbl_2020[[#This Row],[Type of Service]],2000,3000,3500,4500,5000)*Tbl_2020[[#This Row],[No of Visits]]</f>
        <v>70000</v>
      </c>
    </row>
    <row r="378" spans="2:8" x14ac:dyDescent="0.3">
      <c r="B378" t="s">
        <v>389</v>
      </c>
      <c r="C378" t="s">
        <v>1023</v>
      </c>
      <c r="D378" t="s">
        <v>10</v>
      </c>
      <c r="E378">
        <v>2</v>
      </c>
      <c r="F378" t="str">
        <f>+CHOOSE(Tbl_2020[[#This Row],[Type of Service]],"PEST","Disinfe","Rodent","Bird","Termite")</f>
        <v>Disinfe</v>
      </c>
      <c r="G378">
        <v>12</v>
      </c>
      <c r="H378" s="4">
        <f>+CHOOSE(Tbl_2020[[#This Row],[Type of Service]],2000,3000,3500,4500,5000)*Tbl_2020[[#This Row],[No of Visits]]</f>
        <v>36000</v>
      </c>
    </row>
    <row r="379" spans="2:8" x14ac:dyDescent="0.3">
      <c r="B379" t="s">
        <v>390</v>
      </c>
      <c r="C379" t="s">
        <v>1024</v>
      </c>
      <c r="D379" t="s">
        <v>12</v>
      </c>
      <c r="E379">
        <v>2</v>
      </c>
      <c r="F379" t="str">
        <f>+CHOOSE(Tbl_2020[[#This Row],[Type of Service]],"PEST","Disinfe","Rodent","Bird","Termite")</f>
        <v>Disinfe</v>
      </c>
      <c r="G379">
        <v>20</v>
      </c>
      <c r="H379" s="4">
        <f>+CHOOSE(Tbl_2020[[#This Row],[Type of Service]],2000,3000,3500,4500,5000)*Tbl_2020[[#This Row],[No of Visits]]</f>
        <v>60000</v>
      </c>
    </row>
    <row r="380" spans="2:8" x14ac:dyDescent="0.3">
      <c r="B380" t="s">
        <v>391</v>
      </c>
      <c r="C380" t="s">
        <v>763</v>
      </c>
      <c r="D380" t="s">
        <v>14</v>
      </c>
      <c r="E380">
        <v>4</v>
      </c>
      <c r="F380" t="str">
        <f>+CHOOSE(Tbl_2020[[#This Row],[Type of Service]],"PEST","Disinfe","Rodent","Bird","Termite")</f>
        <v>Bird</v>
      </c>
      <c r="G380">
        <v>16</v>
      </c>
      <c r="H380" s="4">
        <f>+CHOOSE(Tbl_2020[[#This Row],[Type of Service]],2000,3000,3500,4500,5000)*Tbl_2020[[#This Row],[No of Visits]]</f>
        <v>72000</v>
      </c>
    </row>
    <row r="381" spans="2:8" x14ac:dyDescent="0.3">
      <c r="B381" t="s">
        <v>392</v>
      </c>
      <c r="C381" t="s">
        <v>1025</v>
      </c>
      <c r="D381" t="s">
        <v>16</v>
      </c>
      <c r="E381">
        <v>1</v>
      </c>
      <c r="F381" t="str">
        <f>+CHOOSE(Tbl_2020[[#This Row],[Type of Service]],"PEST","Disinfe","Rodent","Bird","Termite")</f>
        <v>PEST</v>
      </c>
      <c r="G381">
        <v>18</v>
      </c>
      <c r="H381" s="4">
        <f>+CHOOSE(Tbl_2020[[#This Row],[Type of Service]],2000,3000,3500,4500,5000)*Tbl_2020[[#This Row],[No of Visits]]</f>
        <v>36000</v>
      </c>
    </row>
    <row r="382" spans="2:8" x14ac:dyDescent="0.3">
      <c r="B382" t="s">
        <v>393</v>
      </c>
      <c r="C382" t="s">
        <v>1026</v>
      </c>
      <c r="D382" t="s">
        <v>4</v>
      </c>
      <c r="E382">
        <v>2</v>
      </c>
      <c r="F382" t="str">
        <f>+CHOOSE(Tbl_2020[[#This Row],[Type of Service]],"PEST","Disinfe","Rodent","Bird","Termite")</f>
        <v>Disinfe</v>
      </c>
      <c r="G382">
        <v>17</v>
      </c>
      <c r="H382" s="4">
        <f>+CHOOSE(Tbl_2020[[#This Row],[Type of Service]],2000,3000,3500,4500,5000)*Tbl_2020[[#This Row],[No of Visits]]</f>
        <v>51000</v>
      </c>
    </row>
    <row r="383" spans="2:8" x14ac:dyDescent="0.3">
      <c r="B383" t="s">
        <v>394</v>
      </c>
      <c r="C383" t="s">
        <v>1027</v>
      </c>
      <c r="D383" t="s">
        <v>6</v>
      </c>
      <c r="E383">
        <v>2</v>
      </c>
      <c r="F383" t="str">
        <f>+CHOOSE(Tbl_2020[[#This Row],[Type of Service]],"PEST","Disinfe","Rodent","Bird","Termite")</f>
        <v>Disinfe</v>
      </c>
      <c r="G383">
        <v>5</v>
      </c>
      <c r="H383" s="4">
        <f>+CHOOSE(Tbl_2020[[#This Row],[Type of Service]],2000,3000,3500,4500,5000)*Tbl_2020[[#This Row],[No of Visits]]</f>
        <v>15000</v>
      </c>
    </row>
    <row r="384" spans="2:8" x14ac:dyDescent="0.3">
      <c r="B384" t="s">
        <v>395</v>
      </c>
      <c r="C384" t="s">
        <v>1028</v>
      </c>
      <c r="D384" t="s">
        <v>8</v>
      </c>
      <c r="E384">
        <v>3</v>
      </c>
      <c r="F384" t="str">
        <f>+CHOOSE(Tbl_2020[[#This Row],[Type of Service]],"PEST","Disinfe","Rodent","Bird","Termite")</f>
        <v>Rodent</v>
      </c>
      <c r="G384">
        <v>22</v>
      </c>
      <c r="H384" s="4">
        <f>+CHOOSE(Tbl_2020[[#This Row],[Type of Service]],2000,3000,3500,4500,5000)*Tbl_2020[[#This Row],[No of Visits]]</f>
        <v>77000</v>
      </c>
    </row>
    <row r="385" spans="2:8" x14ac:dyDescent="0.3">
      <c r="B385" t="s">
        <v>396</v>
      </c>
      <c r="C385" t="s">
        <v>1029</v>
      </c>
      <c r="D385" t="s">
        <v>10</v>
      </c>
      <c r="E385">
        <v>3</v>
      </c>
      <c r="F385" t="str">
        <f>+CHOOSE(Tbl_2020[[#This Row],[Type of Service]],"PEST","Disinfe","Rodent","Bird","Termite")</f>
        <v>Rodent</v>
      </c>
      <c r="G385">
        <v>19</v>
      </c>
      <c r="H385" s="4">
        <f>+CHOOSE(Tbl_2020[[#This Row],[Type of Service]],2000,3000,3500,4500,5000)*Tbl_2020[[#This Row],[No of Visits]]</f>
        <v>66500</v>
      </c>
    </row>
    <row r="386" spans="2:8" x14ac:dyDescent="0.3">
      <c r="B386" t="s">
        <v>397</v>
      </c>
      <c r="C386" t="s">
        <v>1030</v>
      </c>
      <c r="D386" t="s">
        <v>12</v>
      </c>
      <c r="E386">
        <v>1</v>
      </c>
      <c r="F386" t="str">
        <f>+CHOOSE(Tbl_2020[[#This Row],[Type of Service]],"PEST","Disinfe","Rodent","Bird","Termite")</f>
        <v>PEST</v>
      </c>
      <c r="G386">
        <v>2</v>
      </c>
      <c r="H386" s="4">
        <f>+CHOOSE(Tbl_2020[[#This Row],[Type of Service]],2000,3000,3500,4500,5000)*Tbl_2020[[#This Row],[No of Visits]]</f>
        <v>4000</v>
      </c>
    </row>
    <row r="387" spans="2:8" x14ac:dyDescent="0.3">
      <c r="B387" t="s">
        <v>398</v>
      </c>
      <c r="C387" t="s">
        <v>1031</v>
      </c>
      <c r="D387" t="s">
        <v>14</v>
      </c>
      <c r="E387">
        <v>1</v>
      </c>
      <c r="F387" t="str">
        <f>+CHOOSE(Tbl_2020[[#This Row],[Type of Service]],"PEST","Disinfe","Rodent","Bird","Termite")</f>
        <v>PEST</v>
      </c>
      <c r="G387">
        <v>26</v>
      </c>
      <c r="H387" s="4">
        <f>+CHOOSE(Tbl_2020[[#This Row],[Type of Service]],2000,3000,3500,4500,5000)*Tbl_2020[[#This Row],[No of Visits]]</f>
        <v>52000</v>
      </c>
    </row>
    <row r="388" spans="2:8" x14ac:dyDescent="0.3">
      <c r="B388" t="s">
        <v>399</v>
      </c>
      <c r="C388" t="s">
        <v>1032</v>
      </c>
      <c r="D388" t="s">
        <v>16</v>
      </c>
      <c r="E388">
        <v>1</v>
      </c>
      <c r="F388" t="str">
        <f>+CHOOSE(Tbl_2020[[#This Row],[Type of Service]],"PEST","Disinfe","Rodent","Bird","Termite")</f>
        <v>PEST</v>
      </c>
      <c r="G388">
        <v>6</v>
      </c>
      <c r="H388" s="4">
        <f>+CHOOSE(Tbl_2020[[#This Row],[Type of Service]],2000,3000,3500,4500,5000)*Tbl_2020[[#This Row],[No of Visits]]</f>
        <v>12000</v>
      </c>
    </row>
    <row r="389" spans="2:8" x14ac:dyDescent="0.3">
      <c r="B389" t="s">
        <v>400</v>
      </c>
      <c r="C389" t="s">
        <v>1033</v>
      </c>
      <c r="D389" t="s">
        <v>4</v>
      </c>
      <c r="E389">
        <v>1</v>
      </c>
      <c r="F389" t="str">
        <f>+CHOOSE(Tbl_2020[[#This Row],[Type of Service]],"PEST","Disinfe","Rodent","Bird","Termite")</f>
        <v>PEST</v>
      </c>
      <c r="G389">
        <v>5</v>
      </c>
      <c r="H389" s="4">
        <f>+CHOOSE(Tbl_2020[[#This Row],[Type of Service]],2000,3000,3500,4500,5000)*Tbl_2020[[#This Row],[No of Visits]]</f>
        <v>10000</v>
      </c>
    </row>
    <row r="390" spans="2:8" x14ac:dyDescent="0.3">
      <c r="B390" t="s">
        <v>401</v>
      </c>
      <c r="C390" t="s">
        <v>735</v>
      </c>
      <c r="D390" t="s">
        <v>6</v>
      </c>
      <c r="E390">
        <v>4</v>
      </c>
      <c r="F390" t="str">
        <f>+CHOOSE(Tbl_2020[[#This Row],[Type of Service]],"PEST","Disinfe","Rodent","Bird","Termite")</f>
        <v>Bird</v>
      </c>
      <c r="G390">
        <v>7</v>
      </c>
      <c r="H390" s="4">
        <f>+CHOOSE(Tbl_2020[[#This Row],[Type of Service]],2000,3000,3500,4500,5000)*Tbl_2020[[#This Row],[No of Visits]]</f>
        <v>31500</v>
      </c>
    </row>
    <row r="391" spans="2:8" x14ac:dyDescent="0.3">
      <c r="B391" t="s">
        <v>402</v>
      </c>
      <c r="C391" t="s">
        <v>827</v>
      </c>
      <c r="D391" t="s">
        <v>8</v>
      </c>
      <c r="E391">
        <v>4</v>
      </c>
      <c r="F391" t="str">
        <f>+CHOOSE(Tbl_2020[[#This Row],[Type of Service]],"PEST","Disinfe","Rodent","Bird","Termite")</f>
        <v>Bird</v>
      </c>
      <c r="G391">
        <v>8</v>
      </c>
      <c r="H391" s="4">
        <f>+CHOOSE(Tbl_2020[[#This Row],[Type of Service]],2000,3000,3500,4500,5000)*Tbl_2020[[#This Row],[No of Visits]]</f>
        <v>36000</v>
      </c>
    </row>
    <row r="392" spans="2:8" x14ac:dyDescent="0.3">
      <c r="B392" t="s">
        <v>403</v>
      </c>
      <c r="C392" t="s">
        <v>965</v>
      </c>
      <c r="D392" t="s">
        <v>10</v>
      </c>
      <c r="E392">
        <v>3</v>
      </c>
      <c r="F392" t="str">
        <f>+CHOOSE(Tbl_2020[[#This Row],[Type of Service]],"PEST","Disinfe","Rodent","Bird","Termite")</f>
        <v>Rodent</v>
      </c>
      <c r="G392">
        <v>7</v>
      </c>
      <c r="H392" s="4">
        <f>+CHOOSE(Tbl_2020[[#This Row],[Type of Service]],2000,3000,3500,4500,5000)*Tbl_2020[[#This Row],[No of Visits]]</f>
        <v>24500</v>
      </c>
    </row>
    <row r="393" spans="2:8" x14ac:dyDescent="0.3">
      <c r="B393" t="s">
        <v>404</v>
      </c>
      <c r="C393" t="s">
        <v>1034</v>
      </c>
      <c r="D393" t="s">
        <v>12</v>
      </c>
      <c r="E393">
        <v>4</v>
      </c>
      <c r="F393" t="str">
        <f>+CHOOSE(Tbl_2020[[#This Row],[Type of Service]],"PEST","Disinfe","Rodent","Bird","Termite")</f>
        <v>Bird</v>
      </c>
      <c r="G393">
        <v>20</v>
      </c>
      <c r="H393" s="4">
        <f>+CHOOSE(Tbl_2020[[#This Row],[Type of Service]],2000,3000,3500,4500,5000)*Tbl_2020[[#This Row],[No of Visits]]</f>
        <v>90000</v>
      </c>
    </row>
    <row r="394" spans="2:8" x14ac:dyDescent="0.3">
      <c r="B394" t="s">
        <v>405</v>
      </c>
      <c r="C394" t="s">
        <v>1035</v>
      </c>
      <c r="D394" t="s">
        <v>14</v>
      </c>
      <c r="E394">
        <v>4</v>
      </c>
      <c r="F394" t="str">
        <f>+CHOOSE(Tbl_2020[[#This Row],[Type of Service]],"PEST","Disinfe","Rodent","Bird","Termite")</f>
        <v>Bird</v>
      </c>
      <c r="G394">
        <v>18</v>
      </c>
      <c r="H394" s="4">
        <f>+CHOOSE(Tbl_2020[[#This Row],[Type of Service]],2000,3000,3500,4500,5000)*Tbl_2020[[#This Row],[No of Visits]]</f>
        <v>81000</v>
      </c>
    </row>
    <row r="395" spans="2:8" x14ac:dyDescent="0.3">
      <c r="B395" t="s">
        <v>406</v>
      </c>
      <c r="C395" t="s">
        <v>819</v>
      </c>
      <c r="D395" t="s">
        <v>16</v>
      </c>
      <c r="E395">
        <v>4</v>
      </c>
      <c r="F395" t="str">
        <f>+CHOOSE(Tbl_2020[[#This Row],[Type of Service]],"PEST","Disinfe","Rodent","Bird","Termite")</f>
        <v>Bird</v>
      </c>
      <c r="G395">
        <v>27</v>
      </c>
      <c r="H395" s="4">
        <f>+CHOOSE(Tbl_2020[[#This Row],[Type of Service]],2000,3000,3500,4500,5000)*Tbl_2020[[#This Row],[No of Visits]]</f>
        <v>121500</v>
      </c>
    </row>
    <row r="396" spans="2:8" x14ac:dyDescent="0.3">
      <c r="B396" t="s">
        <v>407</v>
      </c>
      <c r="C396" t="s">
        <v>1036</v>
      </c>
      <c r="D396" t="s">
        <v>4</v>
      </c>
      <c r="E396">
        <v>1</v>
      </c>
      <c r="F396" t="str">
        <f>+CHOOSE(Tbl_2020[[#This Row],[Type of Service]],"PEST","Disinfe","Rodent","Bird","Termite")</f>
        <v>PEST</v>
      </c>
      <c r="G396">
        <v>9</v>
      </c>
      <c r="H396" s="4">
        <f>+CHOOSE(Tbl_2020[[#This Row],[Type of Service]],2000,3000,3500,4500,5000)*Tbl_2020[[#This Row],[No of Visits]]</f>
        <v>18000</v>
      </c>
    </row>
    <row r="397" spans="2:8" x14ac:dyDescent="0.3">
      <c r="B397" t="s">
        <v>408</v>
      </c>
      <c r="C397" t="s">
        <v>916</v>
      </c>
      <c r="D397" t="s">
        <v>6</v>
      </c>
      <c r="E397">
        <v>4</v>
      </c>
      <c r="F397" t="str">
        <f>+CHOOSE(Tbl_2020[[#This Row],[Type of Service]],"PEST","Disinfe","Rodent","Bird","Termite")</f>
        <v>Bird</v>
      </c>
      <c r="G397">
        <v>6</v>
      </c>
      <c r="H397" s="4">
        <f>+CHOOSE(Tbl_2020[[#This Row],[Type of Service]],2000,3000,3500,4500,5000)*Tbl_2020[[#This Row],[No of Visits]]</f>
        <v>27000</v>
      </c>
    </row>
    <row r="398" spans="2:8" x14ac:dyDescent="0.3">
      <c r="B398" t="s">
        <v>409</v>
      </c>
      <c r="C398" t="s">
        <v>1037</v>
      </c>
      <c r="D398" t="s">
        <v>8</v>
      </c>
      <c r="E398">
        <v>2</v>
      </c>
      <c r="F398" t="str">
        <f>+CHOOSE(Tbl_2020[[#This Row],[Type of Service]],"PEST","Disinfe","Rodent","Bird","Termite")</f>
        <v>Disinfe</v>
      </c>
      <c r="G398">
        <v>22</v>
      </c>
      <c r="H398" s="4">
        <f>+CHOOSE(Tbl_2020[[#This Row],[Type of Service]],2000,3000,3500,4500,5000)*Tbl_2020[[#This Row],[No of Visits]]</f>
        <v>66000</v>
      </c>
    </row>
    <row r="399" spans="2:8" x14ac:dyDescent="0.3">
      <c r="B399" t="s">
        <v>410</v>
      </c>
      <c r="C399" t="s">
        <v>1038</v>
      </c>
      <c r="D399" t="s">
        <v>10</v>
      </c>
      <c r="E399">
        <v>2</v>
      </c>
      <c r="F399" t="str">
        <f>+CHOOSE(Tbl_2020[[#This Row],[Type of Service]],"PEST","Disinfe","Rodent","Bird","Termite")</f>
        <v>Disinfe</v>
      </c>
      <c r="G399">
        <v>22</v>
      </c>
      <c r="H399" s="4">
        <f>+CHOOSE(Tbl_2020[[#This Row],[Type of Service]],2000,3000,3500,4500,5000)*Tbl_2020[[#This Row],[No of Visits]]</f>
        <v>66000</v>
      </c>
    </row>
    <row r="400" spans="2:8" x14ac:dyDescent="0.3">
      <c r="B400" t="s">
        <v>411</v>
      </c>
      <c r="C400" t="s">
        <v>1039</v>
      </c>
      <c r="D400" t="s">
        <v>12</v>
      </c>
      <c r="E400">
        <v>3</v>
      </c>
      <c r="F400" t="str">
        <f>+CHOOSE(Tbl_2020[[#This Row],[Type of Service]],"PEST","Disinfe","Rodent","Bird","Termite")</f>
        <v>Rodent</v>
      </c>
      <c r="G400">
        <v>25</v>
      </c>
      <c r="H400" s="4">
        <f>+CHOOSE(Tbl_2020[[#This Row],[Type of Service]],2000,3000,3500,4500,5000)*Tbl_2020[[#This Row],[No of Visits]]</f>
        <v>87500</v>
      </c>
    </row>
    <row r="401" spans="2:8" x14ac:dyDescent="0.3">
      <c r="B401" t="s">
        <v>412</v>
      </c>
      <c r="C401" t="s">
        <v>1040</v>
      </c>
      <c r="D401" t="s">
        <v>14</v>
      </c>
      <c r="E401">
        <v>4</v>
      </c>
      <c r="F401" t="str">
        <f>+CHOOSE(Tbl_2020[[#This Row],[Type of Service]],"PEST","Disinfe","Rodent","Bird","Termite")</f>
        <v>Bird</v>
      </c>
      <c r="G401">
        <v>24</v>
      </c>
      <c r="H401" s="4">
        <f>+CHOOSE(Tbl_2020[[#This Row],[Type of Service]],2000,3000,3500,4500,5000)*Tbl_2020[[#This Row],[No of Visits]]</f>
        <v>108000</v>
      </c>
    </row>
    <row r="402" spans="2:8" x14ac:dyDescent="0.3">
      <c r="B402" t="s">
        <v>413</v>
      </c>
      <c r="C402" t="s">
        <v>1041</v>
      </c>
      <c r="D402" t="s">
        <v>16</v>
      </c>
      <c r="E402">
        <v>4</v>
      </c>
      <c r="F402" t="str">
        <f>+CHOOSE(Tbl_2020[[#This Row],[Type of Service]],"PEST","Disinfe","Rodent","Bird","Termite")</f>
        <v>Bird</v>
      </c>
      <c r="G402">
        <v>19</v>
      </c>
      <c r="H402" s="4">
        <f>+CHOOSE(Tbl_2020[[#This Row],[Type of Service]],2000,3000,3500,4500,5000)*Tbl_2020[[#This Row],[No of Visits]]</f>
        <v>85500</v>
      </c>
    </row>
    <row r="403" spans="2:8" x14ac:dyDescent="0.3">
      <c r="B403" t="s">
        <v>414</v>
      </c>
      <c r="C403" t="s">
        <v>1042</v>
      </c>
      <c r="D403" t="s">
        <v>4</v>
      </c>
      <c r="E403">
        <v>3</v>
      </c>
      <c r="F403" t="str">
        <f>+CHOOSE(Tbl_2020[[#This Row],[Type of Service]],"PEST","Disinfe","Rodent","Bird","Termite")</f>
        <v>Rodent</v>
      </c>
      <c r="G403">
        <v>24</v>
      </c>
      <c r="H403" s="4">
        <f>+CHOOSE(Tbl_2020[[#This Row],[Type of Service]],2000,3000,3500,4500,5000)*Tbl_2020[[#This Row],[No of Visits]]</f>
        <v>84000</v>
      </c>
    </row>
    <row r="404" spans="2:8" x14ac:dyDescent="0.3">
      <c r="B404" t="s">
        <v>415</v>
      </c>
      <c r="C404" t="s">
        <v>815</v>
      </c>
      <c r="D404" t="s">
        <v>6</v>
      </c>
      <c r="E404">
        <v>3</v>
      </c>
      <c r="F404" t="str">
        <f>+CHOOSE(Tbl_2020[[#This Row],[Type of Service]],"PEST","Disinfe","Rodent","Bird","Termite")</f>
        <v>Rodent</v>
      </c>
      <c r="G404">
        <v>20</v>
      </c>
      <c r="H404" s="4">
        <f>+CHOOSE(Tbl_2020[[#This Row],[Type of Service]],2000,3000,3500,4500,5000)*Tbl_2020[[#This Row],[No of Visits]]</f>
        <v>70000</v>
      </c>
    </row>
    <row r="405" spans="2:8" x14ac:dyDescent="0.3">
      <c r="B405" t="s">
        <v>416</v>
      </c>
      <c r="C405" t="s">
        <v>1043</v>
      </c>
      <c r="D405" t="s">
        <v>8</v>
      </c>
      <c r="E405">
        <v>3</v>
      </c>
      <c r="F405" t="str">
        <f>+CHOOSE(Tbl_2020[[#This Row],[Type of Service]],"PEST","Disinfe","Rodent","Bird","Termite")</f>
        <v>Rodent</v>
      </c>
      <c r="G405">
        <v>8</v>
      </c>
      <c r="H405" s="4">
        <f>+CHOOSE(Tbl_2020[[#This Row],[Type of Service]],2000,3000,3500,4500,5000)*Tbl_2020[[#This Row],[No of Visits]]</f>
        <v>28000</v>
      </c>
    </row>
    <row r="406" spans="2:8" x14ac:dyDescent="0.3">
      <c r="B406" t="s">
        <v>417</v>
      </c>
      <c r="C406" t="s">
        <v>1044</v>
      </c>
      <c r="D406" t="s">
        <v>10</v>
      </c>
      <c r="E406">
        <v>2</v>
      </c>
      <c r="F406" t="str">
        <f>+CHOOSE(Tbl_2020[[#This Row],[Type of Service]],"PEST","Disinfe","Rodent","Bird","Termite")</f>
        <v>Disinfe</v>
      </c>
      <c r="G406">
        <v>2</v>
      </c>
      <c r="H406" s="4">
        <f>+CHOOSE(Tbl_2020[[#This Row],[Type of Service]],2000,3000,3500,4500,5000)*Tbl_2020[[#This Row],[No of Visits]]</f>
        <v>6000</v>
      </c>
    </row>
    <row r="407" spans="2:8" x14ac:dyDescent="0.3">
      <c r="B407" t="s">
        <v>418</v>
      </c>
      <c r="C407" t="s">
        <v>1045</v>
      </c>
      <c r="D407" t="s">
        <v>12</v>
      </c>
      <c r="E407">
        <v>3</v>
      </c>
      <c r="F407" t="str">
        <f>+CHOOSE(Tbl_2020[[#This Row],[Type of Service]],"PEST","Disinfe","Rodent","Bird","Termite")</f>
        <v>Rodent</v>
      </c>
      <c r="G407">
        <v>10</v>
      </c>
      <c r="H407" s="4">
        <f>+CHOOSE(Tbl_2020[[#This Row],[Type of Service]],2000,3000,3500,4500,5000)*Tbl_2020[[#This Row],[No of Visits]]</f>
        <v>35000</v>
      </c>
    </row>
    <row r="408" spans="2:8" x14ac:dyDescent="0.3">
      <c r="B408" t="s">
        <v>419</v>
      </c>
      <c r="C408" t="s">
        <v>1046</v>
      </c>
      <c r="D408" t="s">
        <v>14</v>
      </c>
      <c r="E408">
        <v>3</v>
      </c>
      <c r="F408" t="str">
        <f>+CHOOSE(Tbl_2020[[#This Row],[Type of Service]],"PEST","Disinfe","Rodent","Bird","Termite")</f>
        <v>Rodent</v>
      </c>
      <c r="G408">
        <v>4</v>
      </c>
      <c r="H408" s="4">
        <f>+CHOOSE(Tbl_2020[[#This Row],[Type of Service]],2000,3000,3500,4500,5000)*Tbl_2020[[#This Row],[No of Visits]]</f>
        <v>14000</v>
      </c>
    </row>
    <row r="409" spans="2:8" x14ac:dyDescent="0.3">
      <c r="B409" t="s">
        <v>420</v>
      </c>
      <c r="C409" t="s">
        <v>1047</v>
      </c>
      <c r="D409" t="s">
        <v>16</v>
      </c>
      <c r="E409">
        <v>4</v>
      </c>
      <c r="F409" t="str">
        <f>+CHOOSE(Tbl_2020[[#This Row],[Type of Service]],"PEST","Disinfe","Rodent","Bird","Termite")</f>
        <v>Bird</v>
      </c>
      <c r="G409">
        <v>24</v>
      </c>
      <c r="H409" s="4">
        <f>+CHOOSE(Tbl_2020[[#This Row],[Type of Service]],2000,3000,3500,4500,5000)*Tbl_2020[[#This Row],[No of Visits]]</f>
        <v>108000</v>
      </c>
    </row>
    <row r="410" spans="2:8" x14ac:dyDescent="0.3">
      <c r="B410" t="s">
        <v>421</v>
      </c>
      <c r="C410" t="s">
        <v>1048</v>
      </c>
      <c r="D410" t="s">
        <v>4</v>
      </c>
      <c r="E410">
        <v>1</v>
      </c>
      <c r="F410" t="str">
        <f>+CHOOSE(Tbl_2020[[#This Row],[Type of Service]],"PEST","Disinfe","Rodent","Bird","Termite")</f>
        <v>PEST</v>
      </c>
      <c r="G410">
        <v>2</v>
      </c>
      <c r="H410" s="4">
        <f>+CHOOSE(Tbl_2020[[#This Row],[Type of Service]],2000,3000,3500,4500,5000)*Tbl_2020[[#This Row],[No of Visits]]</f>
        <v>4000</v>
      </c>
    </row>
    <row r="411" spans="2:8" x14ac:dyDescent="0.3">
      <c r="B411" t="s">
        <v>422</v>
      </c>
      <c r="C411" t="s">
        <v>1049</v>
      </c>
      <c r="D411" t="s">
        <v>6</v>
      </c>
      <c r="E411">
        <v>3</v>
      </c>
      <c r="F411" t="str">
        <f>+CHOOSE(Tbl_2020[[#This Row],[Type of Service]],"PEST","Disinfe","Rodent","Bird","Termite")</f>
        <v>Rodent</v>
      </c>
      <c r="G411">
        <v>18</v>
      </c>
      <c r="H411" s="4">
        <f>+CHOOSE(Tbl_2020[[#This Row],[Type of Service]],2000,3000,3500,4500,5000)*Tbl_2020[[#This Row],[No of Visits]]</f>
        <v>63000</v>
      </c>
    </row>
    <row r="412" spans="2:8" x14ac:dyDescent="0.3">
      <c r="B412" t="s">
        <v>423</v>
      </c>
      <c r="C412" t="s">
        <v>1050</v>
      </c>
      <c r="D412" t="s">
        <v>8</v>
      </c>
      <c r="E412">
        <v>2</v>
      </c>
      <c r="F412" t="str">
        <f>+CHOOSE(Tbl_2020[[#This Row],[Type of Service]],"PEST","Disinfe","Rodent","Bird","Termite")</f>
        <v>Disinfe</v>
      </c>
      <c r="G412">
        <v>4</v>
      </c>
      <c r="H412" s="4">
        <f>+CHOOSE(Tbl_2020[[#This Row],[Type of Service]],2000,3000,3500,4500,5000)*Tbl_2020[[#This Row],[No of Visits]]</f>
        <v>12000</v>
      </c>
    </row>
    <row r="413" spans="2:8" x14ac:dyDescent="0.3">
      <c r="B413" t="s">
        <v>424</v>
      </c>
      <c r="C413" t="s">
        <v>1051</v>
      </c>
      <c r="D413" t="s">
        <v>10</v>
      </c>
      <c r="E413">
        <v>3</v>
      </c>
      <c r="F413" t="str">
        <f>+CHOOSE(Tbl_2020[[#This Row],[Type of Service]],"PEST","Disinfe","Rodent","Bird","Termite")</f>
        <v>Rodent</v>
      </c>
      <c r="G413">
        <v>16</v>
      </c>
      <c r="H413" s="4">
        <f>+CHOOSE(Tbl_2020[[#This Row],[Type of Service]],2000,3000,3500,4500,5000)*Tbl_2020[[#This Row],[No of Visits]]</f>
        <v>56000</v>
      </c>
    </row>
    <row r="414" spans="2:8" x14ac:dyDescent="0.3">
      <c r="B414" t="s">
        <v>425</v>
      </c>
      <c r="C414" t="s">
        <v>1052</v>
      </c>
      <c r="D414" t="s">
        <v>12</v>
      </c>
      <c r="E414">
        <v>1</v>
      </c>
      <c r="F414" t="str">
        <f>+CHOOSE(Tbl_2020[[#This Row],[Type of Service]],"PEST","Disinfe","Rodent","Bird","Termite")</f>
        <v>PEST</v>
      </c>
      <c r="G414">
        <v>22</v>
      </c>
      <c r="H414" s="4">
        <f>+CHOOSE(Tbl_2020[[#This Row],[Type of Service]],2000,3000,3500,4500,5000)*Tbl_2020[[#This Row],[No of Visits]]</f>
        <v>44000</v>
      </c>
    </row>
    <row r="415" spans="2:8" x14ac:dyDescent="0.3">
      <c r="B415" t="s">
        <v>426</v>
      </c>
      <c r="C415" t="s">
        <v>1053</v>
      </c>
      <c r="D415" t="s">
        <v>14</v>
      </c>
      <c r="E415">
        <v>4</v>
      </c>
      <c r="F415" t="str">
        <f>+CHOOSE(Tbl_2020[[#This Row],[Type of Service]],"PEST","Disinfe","Rodent","Bird","Termite")</f>
        <v>Bird</v>
      </c>
      <c r="G415">
        <v>18</v>
      </c>
      <c r="H415" s="4">
        <f>+CHOOSE(Tbl_2020[[#This Row],[Type of Service]],2000,3000,3500,4500,5000)*Tbl_2020[[#This Row],[No of Visits]]</f>
        <v>81000</v>
      </c>
    </row>
    <row r="416" spans="2:8" x14ac:dyDescent="0.3">
      <c r="B416" t="s">
        <v>427</v>
      </c>
      <c r="C416" t="s">
        <v>1054</v>
      </c>
      <c r="D416" t="s">
        <v>16</v>
      </c>
      <c r="E416">
        <v>4</v>
      </c>
      <c r="F416" t="str">
        <f>+CHOOSE(Tbl_2020[[#This Row],[Type of Service]],"PEST","Disinfe","Rodent","Bird","Termite")</f>
        <v>Bird</v>
      </c>
      <c r="G416">
        <v>20</v>
      </c>
      <c r="H416" s="4">
        <f>+CHOOSE(Tbl_2020[[#This Row],[Type of Service]],2000,3000,3500,4500,5000)*Tbl_2020[[#This Row],[No of Visits]]</f>
        <v>90000</v>
      </c>
    </row>
    <row r="417" spans="2:8" x14ac:dyDescent="0.3">
      <c r="B417" t="s">
        <v>428</v>
      </c>
      <c r="C417" t="s">
        <v>1055</v>
      </c>
      <c r="D417" t="s">
        <v>4</v>
      </c>
      <c r="E417">
        <v>4</v>
      </c>
      <c r="F417" t="str">
        <f>+CHOOSE(Tbl_2020[[#This Row],[Type of Service]],"PEST","Disinfe","Rodent","Bird","Termite")</f>
        <v>Bird</v>
      </c>
      <c r="G417">
        <v>20</v>
      </c>
      <c r="H417" s="4">
        <f>+CHOOSE(Tbl_2020[[#This Row],[Type of Service]],2000,3000,3500,4500,5000)*Tbl_2020[[#This Row],[No of Visits]]</f>
        <v>90000</v>
      </c>
    </row>
    <row r="418" spans="2:8" x14ac:dyDescent="0.3">
      <c r="B418" t="s">
        <v>429</v>
      </c>
      <c r="C418" t="s">
        <v>1056</v>
      </c>
      <c r="D418" t="s">
        <v>6</v>
      </c>
      <c r="E418">
        <v>4</v>
      </c>
      <c r="F418" t="str">
        <f>+CHOOSE(Tbl_2020[[#This Row],[Type of Service]],"PEST","Disinfe","Rodent","Bird","Termite")</f>
        <v>Bird</v>
      </c>
      <c r="G418">
        <v>20</v>
      </c>
      <c r="H418" s="4">
        <f>+CHOOSE(Tbl_2020[[#This Row],[Type of Service]],2000,3000,3500,4500,5000)*Tbl_2020[[#This Row],[No of Visits]]</f>
        <v>90000</v>
      </c>
    </row>
    <row r="419" spans="2:8" x14ac:dyDescent="0.3">
      <c r="B419" t="s">
        <v>430</v>
      </c>
      <c r="C419" t="s">
        <v>1057</v>
      </c>
      <c r="D419" t="s">
        <v>8</v>
      </c>
      <c r="E419">
        <v>3</v>
      </c>
      <c r="F419" t="str">
        <f>+CHOOSE(Tbl_2020[[#This Row],[Type of Service]],"PEST","Disinfe","Rodent","Bird","Termite")</f>
        <v>Rodent</v>
      </c>
      <c r="G419">
        <v>21</v>
      </c>
      <c r="H419" s="4">
        <f>+CHOOSE(Tbl_2020[[#This Row],[Type of Service]],2000,3000,3500,4500,5000)*Tbl_2020[[#This Row],[No of Visits]]</f>
        <v>73500</v>
      </c>
    </row>
    <row r="420" spans="2:8" x14ac:dyDescent="0.3">
      <c r="B420" t="s">
        <v>431</v>
      </c>
      <c r="C420" t="s">
        <v>1058</v>
      </c>
      <c r="D420" t="s">
        <v>10</v>
      </c>
      <c r="E420">
        <v>2</v>
      </c>
      <c r="F420" t="str">
        <f>+CHOOSE(Tbl_2020[[#This Row],[Type of Service]],"PEST","Disinfe","Rodent","Bird","Termite")</f>
        <v>Disinfe</v>
      </c>
      <c r="G420">
        <v>22</v>
      </c>
      <c r="H420" s="4">
        <f>+CHOOSE(Tbl_2020[[#This Row],[Type of Service]],2000,3000,3500,4500,5000)*Tbl_2020[[#This Row],[No of Visits]]</f>
        <v>66000</v>
      </c>
    </row>
    <row r="421" spans="2:8" x14ac:dyDescent="0.3">
      <c r="B421" t="s">
        <v>432</v>
      </c>
      <c r="C421" t="s">
        <v>1059</v>
      </c>
      <c r="D421" t="s">
        <v>12</v>
      </c>
      <c r="E421">
        <v>1</v>
      </c>
      <c r="F421" t="str">
        <f>+CHOOSE(Tbl_2020[[#This Row],[Type of Service]],"PEST","Disinfe","Rodent","Bird","Termite")</f>
        <v>PEST</v>
      </c>
      <c r="G421">
        <v>15</v>
      </c>
      <c r="H421" s="4">
        <f>+CHOOSE(Tbl_2020[[#This Row],[Type of Service]],2000,3000,3500,4500,5000)*Tbl_2020[[#This Row],[No of Visits]]</f>
        <v>30000</v>
      </c>
    </row>
    <row r="422" spans="2:8" x14ac:dyDescent="0.3">
      <c r="B422" t="s">
        <v>433</v>
      </c>
      <c r="C422" t="s">
        <v>1060</v>
      </c>
      <c r="D422" t="s">
        <v>14</v>
      </c>
      <c r="E422">
        <v>2</v>
      </c>
      <c r="F422" t="str">
        <f>+CHOOSE(Tbl_2020[[#This Row],[Type of Service]],"PEST","Disinfe","Rodent","Bird","Termite")</f>
        <v>Disinfe</v>
      </c>
      <c r="G422">
        <v>11</v>
      </c>
      <c r="H422" s="4">
        <f>+CHOOSE(Tbl_2020[[#This Row],[Type of Service]],2000,3000,3500,4500,5000)*Tbl_2020[[#This Row],[No of Visits]]</f>
        <v>33000</v>
      </c>
    </row>
    <row r="423" spans="2:8" x14ac:dyDescent="0.3">
      <c r="B423" t="s">
        <v>434</v>
      </c>
      <c r="C423" t="s">
        <v>762</v>
      </c>
      <c r="D423" t="s">
        <v>16</v>
      </c>
      <c r="E423">
        <v>4</v>
      </c>
      <c r="F423" t="str">
        <f>+CHOOSE(Tbl_2020[[#This Row],[Type of Service]],"PEST","Disinfe","Rodent","Bird","Termite")</f>
        <v>Bird</v>
      </c>
      <c r="G423">
        <v>26</v>
      </c>
      <c r="H423" s="4">
        <f>+CHOOSE(Tbl_2020[[#This Row],[Type of Service]],2000,3000,3500,4500,5000)*Tbl_2020[[#This Row],[No of Visits]]</f>
        <v>117000</v>
      </c>
    </row>
    <row r="424" spans="2:8" x14ac:dyDescent="0.3">
      <c r="B424" t="s">
        <v>435</v>
      </c>
      <c r="C424" t="s">
        <v>1061</v>
      </c>
      <c r="D424" t="s">
        <v>4</v>
      </c>
      <c r="E424">
        <v>2</v>
      </c>
      <c r="F424" t="str">
        <f>+CHOOSE(Tbl_2020[[#This Row],[Type of Service]],"PEST","Disinfe","Rodent","Bird","Termite")</f>
        <v>Disinfe</v>
      </c>
      <c r="G424">
        <v>25</v>
      </c>
      <c r="H424" s="4">
        <f>+CHOOSE(Tbl_2020[[#This Row],[Type of Service]],2000,3000,3500,4500,5000)*Tbl_2020[[#This Row],[No of Visits]]</f>
        <v>75000</v>
      </c>
    </row>
    <row r="425" spans="2:8" x14ac:dyDescent="0.3">
      <c r="B425" t="s">
        <v>436</v>
      </c>
      <c r="C425" t="s">
        <v>1062</v>
      </c>
      <c r="D425" t="s">
        <v>6</v>
      </c>
      <c r="E425">
        <v>1</v>
      </c>
      <c r="F425" t="str">
        <f>+CHOOSE(Tbl_2020[[#This Row],[Type of Service]],"PEST","Disinfe","Rodent","Bird","Termite")</f>
        <v>PEST</v>
      </c>
      <c r="G425">
        <v>2</v>
      </c>
      <c r="H425" s="4">
        <f>+CHOOSE(Tbl_2020[[#This Row],[Type of Service]],2000,3000,3500,4500,5000)*Tbl_2020[[#This Row],[No of Visits]]</f>
        <v>4000</v>
      </c>
    </row>
    <row r="426" spans="2:8" x14ac:dyDescent="0.3">
      <c r="B426" t="s">
        <v>437</v>
      </c>
      <c r="C426" t="s">
        <v>1063</v>
      </c>
      <c r="D426" t="s">
        <v>8</v>
      </c>
      <c r="E426">
        <v>3</v>
      </c>
      <c r="F426" t="str">
        <f>+CHOOSE(Tbl_2020[[#This Row],[Type of Service]],"PEST","Disinfe","Rodent","Bird","Termite")</f>
        <v>Rodent</v>
      </c>
      <c r="G426">
        <v>10</v>
      </c>
      <c r="H426" s="4">
        <f>+CHOOSE(Tbl_2020[[#This Row],[Type of Service]],2000,3000,3500,4500,5000)*Tbl_2020[[#This Row],[No of Visits]]</f>
        <v>35000</v>
      </c>
    </row>
    <row r="427" spans="2:8" x14ac:dyDescent="0.3">
      <c r="B427" t="s">
        <v>438</v>
      </c>
      <c r="C427" t="s">
        <v>1063</v>
      </c>
      <c r="D427" t="s">
        <v>10</v>
      </c>
      <c r="E427">
        <v>1</v>
      </c>
      <c r="F427" t="str">
        <f>+CHOOSE(Tbl_2020[[#This Row],[Type of Service]],"PEST","Disinfe","Rodent","Bird","Termite")</f>
        <v>PEST</v>
      </c>
      <c r="G427">
        <v>26</v>
      </c>
      <c r="H427" s="4">
        <f>+CHOOSE(Tbl_2020[[#This Row],[Type of Service]],2000,3000,3500,4500,5000)*Tbl_2020[[#This Row],[No of Visits]]</f>
        <v>52000</v>
      </c>
    </row>
    <row r="428" spans="2:8" x14ac:dyDescent="0.3">
      <c r="B428" t="s">
        <v>439</v>
      </c>
      <c r="C428" t="s">
        <v>1064</v>
      </c>
      <c r="D428" t="s">
        <v>12</v>
      </c>
      <c r="E428">
        <v>4</v>
      </c>
      <c r="F428" t="str">
        <f>+CHOOSE(Tbl_2020[[#This Row],[Type of Service]],"PEST","Disinfe","Rodent","Bird","Termite")</f>
        <v>Bird</v>
      </c>
      <c r="G428">
        <v>25</v>
      </c>
      <c r="H428" s="4">
        <f>+CHOOSE(Tbl_2020[[#This Row],[Type of Service]],2000,3000,3500,4500,5000)*Tbl_2020[[#This Row],[No of Visits]]</f>
        <v>112500</v>
      </c>
    </row>
    <row r="429" spans="2:8" x14ac:dyDescent="0.3">
      <c r="B429" t="s">
        <v>440</v>
      </c>
      <c r="C429" t="s">
        <v>793</v>
      </c>
      <c r="D429" t="s">
        <v>14</v>
      </c>
      <c r="E429">
        <v>3</v>
      </c>
      <c r="F429" t="str">
        <f>+CHOOSE(Tbl_2020[[#This Row],[Type of Service]],"PEST","Disinfe","Rodent","Bird","Termite")</f>
        <v>Rodent</v>
      </c>
      <c r="G429">
        <v>22</v>
      </c>
      <c r="H429" s="4">
        <f>+CHOOSE(Tbl_2020[[#This Row],[Type of Service]],2000,3000,3500,4500,5000)*Tbl_2020[[#This Row],[No of Visits]]</f>
        <v>77000</v>
      </c>
    </row>
    <row r="430" spans="2:8" x14ac:dyDescent="0.3">
      <c r="B430" t="s">
        <v>441</v>
      </c>
      <c r="C430" t="s">
        <v>1065</v>
      </c>
      <c r="D430" t="s">
        <v>16</v>
      </c>
      <c r="E430">
        <v>1</v>
      </c>
      <c r="F430" t="str">
        <f>+CHOOSE(Tbl_2020[[#This Row],[Type of Service]],"PEST","Disinfe","Rodent","Bird","Termite")</f>
        <v>PEST</v>
      </c>
      <c r="G430">
        <v>7</v>
      </c>
      <c r="H430" s="4">
        <f>+CHOOSE(Tbl_2020[[#This Row],[Type of Service]],2000,3000,3500,4500,5000)*Tbl_2020[[#This Row],[No of Visits]]</f>
        <v>14000</v>
      </c>
    </row>
    <row r="431" spans="2:8" x14ac:dyDescent="0.3">
      <c r="B431" t="s">
        <v>442</v>
      </c>
      <c r="C431" t="s">
        <v>1066</v>
      </c>
      <c r="D431" t="s">
        <v>4</v>
      </c>
      <c r="E431">
        <v>3</v>
      </c>
      <c r="F431" t="str">
        <f>+CHOOSE(Tbl_2020[[#This Row],[Type of Service]],"PEST","Disinfe","Rodent","Bird","Termite")</f>
        <v>Rodent</v>
      </c>
      <c r="G431">
        <v>11</v>
      </c>
      <c r="H431" s="4">
        <f>+CHOOSE(Tbl_2020[[#This Row],[Type of Service]],2000,3000,3500,4500,5000)*Tbl_2020[[#This Row],[No of Visits]]</f>
        <v>38500</v>
      </c>
    </row>
    <row r="432" spans="2:8" x14ac:dyDescent="0.3">
      <c r="B432" t="s">
        <v>443</v>
      </c>
      <c r="C432" t="s">
        <v>966</v>
      </c>
      <c r="D432" t="s">
        <v>6</v>
      </c>
      <c r="E432">
        <v>3</v>
      </c>
      <c r="F432" t="str">
        <f>+CHOOSE(Tbl_2020[[#This Row],[Type of Service]],"PEST","Disinfe","Rodent","Bird","Termite")</f>
        <v>Rodent</v>
      </c>
      <c r="G432">
        <v>4</v>
      </c>
      <c r="H432" s="4">
        <f>+CHOOSE(Tbl_2020[[#This Row],[Type of Service]],2000,3000,3500,4500,5000)*Tbl_2020[[#This Row],[No of Visits]]</f>
        <v>14000</v>
      </c>
    </row>
    <row r="433" spans="2:8" x14ac:dyDescent="0.3">
      <c r="B433" t="s">
        <v>444</v>
      </c>
      <c r="C433" t="s">
        <v>1067</v>
      </c>
      <c r="D433" t="s">
        <v>8</v>
      </c>
      <c r="E433">
        <v>2</v>
      </c>
      <c r="F433" t="str">
        <f>+CHOOSE(Tbl_2020[[#This Row],[Type of Service]],"PEST","Disinfe","Rodent","Bird","Termite")</f>
        <v>Disinfe</v>
      </c>
      <c r="G433">
        <v>24</v>
      </c>
      <c r="H433" s="4">
        <f>+CHOOSE(Tbl_2020[[#This Row],[Type of Service]],2000,3000,3500,4500,5000)*Tbl_2020[[#This Row],[No of Visits]]</f>
        <v>72000</v>
      </c>
    </row>
    <row r="434" spans="2:8" x14ac:dyDescent="0.3">
      <c r="B434" t="s">
        <v>445</v>
      </c>
      <c r="C434" t="s">
        <v>1068</v>
      </c>
      <c r="D434" t="s">
        <v>10</v>
      </c>
      <c r="E434">
        <v>2</v>
      </c>
      <c r="F434" t="str">
        <f>+CHOOSE(Tbl_2020[[#This Row],[Type of Service]],"PEST","Disinfe","Rodent","Bird","Termite")</f>
        <v>Disinfe</v>
      </c>
      <c r="G434">
        <v>22</v>
      </c>
      <c r="H434" s="4">
        <f>+CHOOSE(Tbl_2020[[#This Row],[Type of Service]],2000,3000,3500,4500,5000)*Tbl_2020[[#This Row],[No of Visits]]</f>
        <v>66000</v>
      </c>
    </row>
    <row r="435" spans="2:8" x14ac:dyDescent="0.3">
      <c r="B435" t="s">
        <v>446</v>
      </c>
      <c r="C435" t="s">
        <v>1069</v>
      </c>
      <c r="D435" t="s">
        <v>12</v>
      </c>
      <c r="E435">
        <v>4</v>
      </c>
      <c r="F435" t="str">
        <f>+CHOOSE(Tbl_2020[[#This Row],[Type of Service]],"PEST","Disinfe","Rodent","Bird","Termite")</f>
        <v>Bird</v>
      </c>
      <c r="G435">
        <v>6</v>
      </c>
      <c r="H435" s="4">
        <f>+CHOOSE(Tbl_2020[[#This Row],[Type of Service]],2000,3000,3500,4500,5000)*Tbl_2020[[#This Row],[No of Visits]]</f>
        <v>27000</v>
      </c>
    </row>
    <row r="436" spans="2:8" x14ac:dyDescent="0.3">
      <c r="B436" t="s">
        <v>447</v>
      </c>
      <c r="C436" t="s">
        <v>1070</v>
      </c>
      <c r="D436" t="s">
        <v>14</v>
      </c>
      <c r="E436">
        <v>2</v>
      </c>
      <c r="F436" t="str">
        <f>+CHOOSE(Tbl_2020[[#This Row],[Type of Service]],"PEST","Disinfe","Rodent","Bird","Termite")</f>
        <v>Disinfe</v>
      </c>
      <c r="G436">
        <v>22</v>
      </c>
      <c r="H436" s="4">
        <f>+CHOOSE(Tbl_2020[[#This Row],[Type of Service]],2000,3000,3500,4500,5000)*Tbl_2020[[#This Row],[No of Visits]]</f>
        <v>66000</v>
      </c>
    </row>
    <row r="437" spans="2:8" x14ac:dyDescent="0.3">
      <c r="B437" t="s">
        <v>448</v>
      </c>
      <c r="C437" t="s">
        <v>1071</v>
      </c>
      <c r="D437" t="s">
        <v>16</v>
      </c>
      <c r="E437">
        <v>4</v>
      </c>
      <c r="F437" t="str">
        <f>+CHOOSE(Tbl_2020[[#This Row],[Type of Service]],"PEST","Disinfe","Rodent","Bird","Termite")</f>
        <v>Bird</v>
      </c>
      <c r="G437">
        <v>8</v>
      </c>
      <c r="H437" s="4">
        <f>+CHOOSE(Tbl_2020[[#This Row],[Type of Service]],2000,3000,3500,4500,5000)*Tbl_2020[[#This Row],[No of Visits]]</f>
        <v>36000</v>
      </c>
    </row>
    <row r="438" spans="2:8" x14ac:dyDescent="0.3">
      <c r="B438" t="s">
        <v>449</v>
      </c>
      <c r="C438" t="s">
        <v>1072</v>
      </c>
      <c r="D438" t="s">
        <v>4</v>
      </c>
      <c r="E438">
        <v>1</v>
      </c>
      <c r="F438" t="str">
        <f>+CHOOSE(Tbl_2020[[#This Row],[Type of Service]],"PEST","Disinfe","Rodent","Bird","Termite")</f>
        <v>PEST</v>
      </c>
      <c r="G438">
        <v>1</v>
      </c>
      <c r="H438" s="4">
        <f>+CHOOSE(Tbl_2020[[#This Row],[Type of Service]],2000,3000,3500,4500,5000)*Tbl_2020[[#This Row],[No of Visits]]</f>
        <v>2000</v>
      </c>
    </row>
    <row r="439" spans="2:8" x14ac:dyDescent="0.3">
      <c r="B439" t="s">
        <v>450</v>
      </c>
      <c r="C439" t="s">
        <v>1073</v>
      </c>
      <c r="D439" t="s">
        <v>6</v>
      </c>
      <c r="E439">
        <v>3</v>
      </c>
      <c r="F439" t="str">
        <f>+CHOOSE(Tbl_2020[[#This Row],[Type of Service]],"PEST","Disinfe","Rodent","Bird","Termite")</f>
        <v>Rodent</v>
      </c>
      <c r="G439">
        <v>14</v>
      </c>
      <c r="H439" s="4">
        <f>+CHOOSE(Tbl_2020[[#This Row],[Type of Service]],2000,3000,3500,4500,5000)*Tbl_2020[[#This Row],[No of Visits]]</f>
        <v>49000</v>
      </c>
    </row>
    <row r="440" spans="2:8" x14ac:dyDescent="0.3">
      <c r="B440" t="s">
        <v>451</v>
      </c>
      <c r="C440" t="s">
        <v>1074</v>
      </c>
      <c r="D440" t="s">
        <v>8</v>
      </c>
      <c r="E440">
        <v>3</v>
      </c>
      <c r="F440" t="str">
        <f>+CHOOSE(Tbl_2020[[#This Row],[Type of Service]],"PEST","Disinfe","Rodent","Bird","Termite")</f>
        <v>Rodent</v>
      </c>
      <c r="G440">
        <v>7</v>
      </c>
      <c r="H440" s="4">
        <f>+CHOOSE(Tbl_2020[[#This Row],[Type of Service]],2000,3000,3500,4500,5000)*Tbl_2020[[#This Row],[No of Visits]]</f>
        <v>24500</v>
      </c>
    </row>
    <row r="441" spans="2:8" x14ac:dyDescent="0.3">
      <c r="B441" t="s">
        <v>452</v>
      </c>
      <c r="C441" t="s">
        <v>1075</v>
      </c>
      <c r="D441" t="s">
        <v>10</v>
      </c>
      <c r="E441">
        <v>3</v>
      </c>
      <c r="F441" t="str">
        <f>+CHOOSE(Tbl_2020[[#This Row],[Type of Service]],"PEST","Disinfe","Rodent","Bird","Termite")</f>
        <v>Rodent</v>
      </c>
      <c r="G441">
        <v>22</v>
      </c>
      <c r="H441" s="4">
        <f>+CHOOSE(Tbl_2020[[#This Row],[Type of Service]],2000,3000,3500,4500,5000)*Tbl_2020[[#This Row],[No of Visits]]</f>
        <v>77000</v>
      </c>
    </row>
    <row r="442" spans="2:8" x14ac:dyDescent="0.3">
      <c r="B442" t="s">
        <v>453</v>
      </c>
      <c r="C442" t="s">
        <v>1076</v>
      </c>
      <c r="D442" t="s">
        <v>12</v>
      </c>
      <c r="E442">
        <v>2</v>
      </c>
      <c r="F442" t="str">
        <f>+CHOOSE(Tbl_2020[[#This Row],[Type of Service]],"PEST","Disinfe","Rodent","Bird","Termite")</f>
        <v>Disinfe</v>
      </c>
      <c r="G442">
        <v>20</v>
      </c>
      <c r="H442" s="4">
        <f>+CHOOSE(Tbl_2020[[#This Row],[Type of Service]],2000,3000,3500,4500,5000)*Tbl_2020[[#This Row],[No of Visits]]</f>
        <v>60000</v>
      </c>
    </row>
    <row r="443" spans="2:8" x14ac:dyDescent="0.3">
      <c r="B443" t="s">
        <v>454</v>
      </c>
      <c r="C443" t="s">
        <v>1077</v>
      </c>
      <c r="D443" t="s">
        <v>14</v>
      </c>
      <c r="E443">
        <v>2</v>
      </c>
      <c r="F443" t="str">
        <f>+CHOOSE(Tbl_2020[[#This Row],[Type of Service]],"PEST","Disinfe","Rodent","Bird","Termite")</f>
        <v>Disinfe</v>
      </c>
      <c r="G443">
        <v>5</v>
      </c>
      <c r="H443" s="4">
        <f>+CHOOSE(Tbl_2020[[#This Row],[Type of Service]],2000,3000,3500,4500,5000)*Tbl_2020[[#This Row],[No of Visits]]</f>
        <v>15000</v>
      </c>
    </row>
    <row r="444" spans="2:8" x14ac:dyDescent="0.3">
      <c r="B444" t="s">
        <v>455</v>
      </c>
      <c r="C444" t="s">
        <v>1078</v>
      </c>
      <c r="D444" t="s">
        <v>16</v>
      </c>
      <c r="E444">
        <v>2</v>
      </c>
      <c r="F444" t="str">
        <f>+CHOOSE(Tbl_2020[[#This Row],[Type of Service]],"PEST","Disinfe","Rodent","Bird","Termite")</f>
        <v>Disinfe</v>
      </c>
      <c r="G444">
        <v>20</v>
      </c>
      <c r="H444" s="4">
        <f>+CHOOSE(Tbl_2020[[#This Row],[Type of Service]],2000,3000,3500,4500,5000)*Tbl_2020[[#This Row],[No of Visits]]</f>
        <v>60000</v>
      </c>
    </row>
    <row r="445" spans="2:8" x14ac:dyDescent="0.3">
      <c r="B445" t="s">
        <v>456</v>
      </c>
      <c r="C445" t="s">
        <v>1079</v>
      </c>
      <c r="D445" t="s">
        <v>4</v>
      </c>
      <c r="E445">
        <v>1</v>
      </c>
      <c r="F445" t="str">
        <f>+CHOOSE(Tbl_2020[[#This Row],[Type of Service]],"PEST","Disinfe","Rodent","Bird","Termite")</f>
        <v>PEST</v>
      </c>
      <c r="G445">
        <v>21</v>
      </c>
      <c r="H445" s="4">
        <f>+CHOOSE(Tbl_2020[[#This Row],[Type of Service]],2000,3000,3500,4500,5000)*Tbl_2020[[#This Row],[No of Visits]]</f>
        <v>42000</v>
      </c>
    </row>
    <row r="446" spans="2:8" x14ac:dyDescent="0.3">
      <c r="B446" t="s">
        <v>457</v>
      </c>
      <c r="C446" t="s">
        <v>1080</v>
      </c>
      <c r="D446" t="s">
        <v>6</v>
      </c>
      <c r="E446">
        <v>4</v>
      </c>
      <c r="F446" t="str">
        <f>+CHOOSE(Tbl_2020[[#This Row],[Type of Service]],"PEST","Disinfe","Rodent","Bird","Termite")</f>
        <v>Bird</v>
      </c>
      <c r="G446">
        <v>27</v>
      </c>
      <c r="H446" s="4">
        <f>+CHOOSE(Tbl_2020[[#This Row],[Type of Service]],2000,3000,3500,4500,5000)*Tbl_2020[[#This Row],[No of Visits]]</f>
        <v>121500</v>
      </c>
    </row>
    <row r="447" spans="2:8" x14ac:dyDescent="0.3">
      <c r="B447" t="s">
        <v>458</v>
      </c>
      <c r="C447" t="s">
        <v>1081</v>
      </c>
      <c r="D447" t="s">
        <v>8</v>
      </c>
      <c r="E447">
        <v>1</v>
      </c>
      <c r="F447" t="str">
        <f>+CHOOSE(Tbl_2020[[#This Row],[Type of Service]],"PEST","Disinfe","Rodent","Bird","Termite")</f>
        <v>PEST</v>
      </c>
      <c r="G447">
        <v>22</v>
      </c>
      <c r="H447" s="4">
        <f>+CHOOSE(Tbl_2020[[#This Row],[Type of Service]],2000,3000,3500,4500,5000)*Tbl_2020[[#This Row],[No of Visits]]</f>
        <v>44000</v>
      </c>
    </row>
    <row r="448" spans="2:8" x14ac:dyDescent="0.3">
      <c r="B448" t="s">
        <v>459</v>
      </c>
      <c r="C448" t="s">
        <v>844</v>
      </c>
      <c r="D448" t="s">
        <v>10</v>
      </c>
      <c r="E448">
        <v>3</v>
      </c>
      <c r="F448" t="str">
        <f>+CHOOSE(Tbl_2020[[#This Row],[Type of Service]],"PEST","Disinfe","Rodent","Bird","Termite")</f>
        <v>Rodent</v>
      </c>
      <c r="G448">
        <v>25</v>
      </c>
      <c r="H448" s="4">
        <f>+CHOOSE(Tbl_2020[[#This Row],[Type of Service]],2000,3000,3500,4500,5000)*Tbl_2020[[#This Row],[No of Visits]]</f>
        <v>87500</v>
      </c>
    </row>
    <row r="449" spans="2:8" x14ac:dyDescent="0.3">
      <c r="B449" t="s">
        <v>460</v>
      </c>
      <c r="C449" t="s">
        <v>1082</v>
      </c>
      <c r="D449" t="s">
        <v>12</v>
      </c>
      <c r="E449">
        <v>1</v>
      </c>
      <c r="F449" t="str">
        <f>+CHOOSE(Tbl_2020[[#This Row],[Type of Service]],"PEST","Disinfe","Rodent","Bird","Termite")</f>
        <v>PEST</v>
      </c>
      <c r="G449">
        <v>27</v>
      </c>
      <c r="H449" s="4">
        <f>+CHOOSE(Tbl_2020[[#This Row],[Type of Service]],2000,3000,3500,4500,5000)*Tbl_2020[[#This Row],[No of Visits]]</f>
        <v>54000</v>
      </c>
    </row>
    <row r="450" spans="2:8" x14ac:dyDescent="0.3">
      <c r="B450" t="s">
        <v>461</v>
      </c>
      <c r="C450" t="s">
        <v>738</v>
      </c>
      <c r="D450" t="s">
        <v>14</v>
      </c>
      <c r="E450">
        <v>2</v>
      </c>
      <c r="F450" t="str">
        <f>+CHOOSE(Tbl_2020[[#This Row],[Type of Service]],"PEST","Disinfe","Rodent","Bird","Termite")</f>
        <v>Disinfe</v>
      </c>
      <c r="G450">
        <v>4</v>
      </c>
      <c r="H450" s="4">
        <f>+CHOOSE(Tbl_2020[[#This Row],[Type of Service]],2000,3000,3500,4500,5000)*Tbl_2020[[#This Row],[No of Visits]]</f>
        <v>12000</v>
      </c>
    </row>
    <row r="451" spans="2:8" x14ac:dyDescent="0.3">
      <c r="B451" t="s">
        <v>462</v>
      </c>
      <c r="C451" t="s">
        <v>1083</v>
      </c>
      <c r="D451" t="s">
        <v>16</v>
      </c>
      <c r="E451">
        <v>1</v>
      </c>
      <c r="F451" t="str">
        <f>+CHOOSE(Tbl_2020[[#This Row],[Type of Service]],"PEST","Disinfe","Rodent","Bird","Termite")</f>
        <v>PEST</v>
      </c>
      <c r="G451">
        <v>18</v>
      </c>
      <c r="H451" s="4">
        <f>+CHOOSE(Tbl_2020[[#This Row],[Type of Service]],2000,3000,3500,4500,5000)*Tbl_2020[[#This Row],[No of Visits]]</f>
        <v>36000</v>
      </c>
    </row>
    <row r="452" spans="2:8" x14ac:dyDescent="0.3">
      <c r="B452" t="s">
        <v>463</v>
      </c>
      <c r="C452" t="s">
        <v>1084</v>
      </c>
      <c r="D452" t="s">
        <v>4</v>
      </c>
      <c r="E452">
        <v>4</v>
      </c>
      <c r="F452" t="str">
        <f>+CHOOSE(Tbl_2020[[#This Row],[Type of Service]],"PEST","Disinfe","Rodent","Bird","Termite")</f>
        <v>Bird</v>
      </c>
      <c r="G452">
        <v>15</v>
      </c>
      <c r="H452" s="4">
        <f>+CHOOSE(Tbl_2020[[#This Row],[Type of Service]],2000,3000,3500,4500,5000)*Tbl_2020[[#This Row],[No of Visits]]</f>
        <v>67500</v>
      </c>
    </row>
    <row r="453" spans="2:8" x14ac:dyDescent="0.3">
      <c r="B453" t="s">
        <v>464</v>
      </c>
      <c r="C453" t="s">
        <v>1068</v>
      </c>
      <c r="D453" t="s">
        <v>6</v>
      </c>
      <c r="E453">
        <v>1</v>
      </c>
      <c r="F453" t="str">
        <f>+CHOOSE(Tbl_2020[[#This Row],[Type of Service]],"PEST","Disinfe","Rodent","Bird","Termite")</f>
        <v>PEST</v>
      </c>
      <c r="G453">
        <v>18</v>
      </c>
      <c r="H453" s="4">
        <f>+CHOOSE(Tbl_2020[[#This Row],[Type of Service]],2000,3000,3500,4500,5000)*Tbl_2020[[#This Row],[No of Visits]]</f>
        <v>36000</v>
      </c>
    </row>
    <row r="454" spans="2:8" x14ac:dyDescent="0.3">
      <c r="B454" t="s">
        <v>465</v>
      </c>
      <c r="C454" t="s">
        <v>1085</v>
      </c>
      <c r="D454" t="s">
        <v>8</v>
      </c>
      <c r="E454">
        <v>3</v>
      </c>
      <c r="F454" t="str">
        <f>+CHOOSE(Tbl_2020[[#This Row],[Type of Service]],"PEST","Disinfe","Rodent","Bird","Termite")</f>
        <v>Rodent</v>
      </c>
      <c r="G454">
        <v>12</v>
      </c>
      <c r="H454" s="4">
        <f>+CHOOSE(Tbl_2020[[#This Row],[Type of Service]],2000,3000,3500,4500,5000)*Tbl_2020[[#This Row],[No of Visits]]</f>
        <v>42000</v>
      </c>
    </row>
    <row r="455" spans="2:8" x14ac:dyDescent="0.3">
      <c r="B455" t="s">
        <v>466</v>
      </c>
      <c r="C455" t="s">
        <v>1086</v>
      </c>
      <c r="D455" t="s">
        <v>10</v>
      </c>
      <c r="E455">
        <v>1</v>
      </c>
      <c r="F455" t="str">
        <f>+CHOOSE(Tbl_2020[[#This Row],[Type of Service]],"PEST","Disinfe","Rodent","Bird","Termite")</f>
        <v>PEST</v>
      </c>
      <c r="G455">
        <v>6</v>
      </c>
      <c r="H455" s="4">
        <f>+CHOOSE(Tbl_2020[[#This Row],[Type of Service]],2000,3000,3500,4500,5000)*Tbl_2020[[#This Row],[No of Visits]]</f>
        <v>12000</v>
      </c>
    </row>
    <row r="456" spans="2:8" x14ac:dyDescent="0.3">
      <c r="B456" t="s">
        <v>467</v>
      </c>
      <c r="C456" t="s">
        <v>1079</v>
      </c>
      <c r="D456" t="s">
        <v>12</v>
      </c>
      <c r="E456">
        <v>2</v>
      </c>
      <c r="F456" t="str">
        <f>+CHOOSE(Tbl_2020[[#This Row],[Type of Service]],"PEST","Disinfe","Rodent","Bird","Termite")</f>
        <v>Disinfe</v>
      </c>
      <c r="G456">
        <v>12</v>
      </c>
      <c r="H456" s="4">
        <f>+CHOOSE(Tbl_2020[[#This Row],[Type of Service]],2000,3000,3500,4500,5000)*Tbl_2020[[#This Row],[No of Visits]]</f>
        <v>36000</v>
      </c>
    </row>
    <row r="457" spans="2:8" x14ac:dyDescent="0.3">
      <c r="B457" t="s">
        <v>468</v>
      </c>
      <c r="C457" t="s">
        <v>1087</v>
      </c>
      <c r="D457" t="s">
        <v>14</v>
      </c>
      <c r="E457">
        <v>2</v>
      </c>
      <c r="F457" t="str">
        <f>+CHOOSE(Tbl_2020[[#This Row],[Type of Service]],"PEST","Disinfe","Rodent","Bird","Termite")</f>
        <v>Disinfe</v>
      </c>
      <c r="G457">
        <v>18</v>
      </c>
      <c r="H457" s="4">
        <f>+CHOOSE(Tbl_2020[[#This Row],[Type of Service]],2000,3000,3500,4500,5000)*Tbl_2020[[#This Row],[No of Visits]]</f>
        <v>54000</v>
      </c>
    </row>
    <row r="458" spans="2:8" x14ac:dyDescent="0.3">
      <c r="B458" t="s">
        <v>469</v>
      </c>
      <c r="C458" t="s">
        <v>727</v>
      </c>
      <c r="D458" t="s">
        <v>16</v>
      </c>
      <c r="E458">
        <v>2</v>
      </c>
      <c r="F458" t="str">
        <f>+CHOOSE(Tbl_2020[[#This Row],[Type of Service]],"PEST","Disinfe","Rodent","Bird","Termite")</f>
        <v>Disinfe</v>
      </c>
      <c r="G458">
        <v>20</v>
      </c>
      <c r="H458" s="4">
        <f>+CHOOSE(Tbl_2020[[#This Row],[Type of Service]],2000,3000,3500,4500,5000)*Tbl_2020[[#This Row],[No of Visits]]</f>
        <v>60000</v>
      </c>
    </row>
    <row r="459" spans="2:8" x14ac:dyDescent="0.3">
      <c r="B459" t="s">
        <v>470</v>
      </c>
      <c r="C459" t="s">
        <v>1088</v>
      </c>
      <c r="D459" t="s">
        <v>4</v>
      </c>
      <c r="E459">
        <v>4</v>
      </c>
      <c r="F459" t="str">
        <f>+CHOOSE(Tbl_2020[[#This Row],[Type of Service]],"PEST","Disinfe","Rodent","Bird","Termite")</f>
        <v>Bird</v>
      </c>
      <c r="G459">
        <v>27</v>
      </c>
      <c r="H459" s="4">
        <f>+CHOOSE(Tbl_2020[[#This Row],[Type of Service]],2000,3000,3500,4500,5000)*Tbl_2020[[#This Row],[No of Visits]]</f>
        <v>121500</v>
      </c>
    </row>
    <row r="460" spans="2:8" x14ac:dyDescent="0.3">
      <c r="B460" t="s">
        <v>471</v>
      </c>
      <c r="C460" t="s">
        <v>1089</v>
      </c>
      <c r="D460" t="s">
        <v>6</v>
      </c>
      <c r="E460">
        <v>4</v>
      </c>
      <c r="F460" t="str">
        <f>+CHOOSE(Tbl_2020[[#This Row],[Type of Service]],"PEST","Disinfe","Rodent","Bird","Termite")</f>
        <v>Bird</v>
      </c>
      <c r="G460">
        <v>22</v>
      </c>
      <c r="H460" s="4">
        <f>+CHOOSE(Tbl_2020[[#This Row],[Type of Service]],2000,3000,3500,4500,5000)*Tbl_2020[[#This Row],[No of Visits]]</f>
        <v>99000</v>
      </c>
    </row>
    <row r="461" spans="2:8" x14ac:dyDescent="0.3">
      <c r="B461" t="s">
        <v>472</v>
      </c>
      <c r="C461" t="s">
        <v>1090</v>
      </c>
      <c r="D461" t="s">
        <v>8</v>
      </c>
      <c r="E461">
        <v>1</v>
      </c>
      <c r="F461" t="str">
        <f>+CHOOSE(Tbl_2020[[#This Row],[Type of Service]],"PEST","Disinfe","Rodent","Bird","Termite")</f>
        <v>PEST</v>
      </c>
      <c r="G461">
        <v>21</v>
      </c>
      <c r="H461" s="4">
        <f>+CHOOSE(Tbl_2020[[#This Row],[Type of Service]],2000,3000,3500,4500,5000)*Tbl_2020[[#This Row],[No of Visits]]</f>
        <v>42000</v>
      </c>
    </row>
    <row r="462" spans="2:8" x14ac:dyDescent="0.3">
      <c r="B462" t="s">
        <v>473</v>
      </c>
      <c r="C462" t="s">
        <v>1091</v>
      </c>
      <c r="D462" t="s">
        <v>10</v>
      </c>
      <c r="E462">
        <v>3</v>
      </c>
      <c r="F462" t="str">
        <f>+CHOOSE(Tbl_2020[[#This Row],[Type of Service]],"PEST","Disinfe","Rodent","Bird","Termite")</f>
        <v>Rodent</v>
      </c>
      <c r="G462">
        <v>21</v>
      </c>
      <c r="H462" s="4">
        <f>+CHOOSE(Tbl_2020[[#This Row],[Type of Service]],2000,3000,3500,4500,5000)*Tbl_2020[[#This Row],[No of Visits]]</f>
        <v>73500</v>
      </c>
    </row>
    <row r="463" spans="2:8" x14ac:dyDescent="0.3">
      <c r="B463" t="s">
        <v>474</v>
      </c>
      <c r="C463" t="s">
        <v>1092</v>
      </c>
      <c r="D463" t="s">
        <v>12</v>
      </c>
      <c r="E463">
        <v>1</v>
      </c>
      <c r="F463" t="str">
        <f>+CHOOSE(Tbl_2020[[#This Row],[Type of Service]],"PEST","Disinfe","Rodent","Bird","Termite")</f>
        <v>PEST</v>
      </c>
      <c r="G463">
        <v>21</v>
      </c>
      <c r="H463" s="4">
        <f>+CHOOSE(Tbl_2020[[#This Row],[Type of Service]],2000,3000,3500,4500,5000)*Tbl_2020[[#This Row],[No of Visits]]</f>
        <v>42000</v>
      </c>
    </row>
    <row r="464" spans="2:8" x14ac:dyDescent="0.3">
      <c r="B464" t="s">
        <v>475</v>
      </c>
      <c r="C464" t="s">
        <v>1093</v>
      </c>
      <c r="D464" t="s">
        <v>14</v>
      </c>
      <c r="E464">
        <v>2</v>
      </c>
      <c r="F464" t="str">
        <f>+CHOOSE(Tbl_2020[[#This Row],[Type of Service]],"PEST","Disinfe","Rodent","Bird","Termite")</f>
        <v>Disinfe</v>
      </c>
      <c r="G464">
        <v>8</v>
      </c>
      <c r="H464" s="4">
        <f>+CHOOSE(Tbl_2020[[#This Row],[Type of Service]],2000,3000,3500,4500,5000)*Tbl_2020[[#This Row],[No of Visits]]</f>
        <v>24000</v>
      </c>
    </row>
    <row r="465" spans="2:8" x14ac:dyDescent="0.3">
      <c r="B465" t="s">
        <v>476</v>
      </c>
      <c r="C465" t="s">
        <v>1094</v>
      </c>
      <c r="D465" t="s">
        <v>16</v>
      </c>
      <c r="E465">
        <v>4</v>
      </c>
      <c r="F465" t="str">
        <f>+CHOOSE(Tbl_2020[[#This Row],[Type of Service]],"PEST","Disinfe","Rodent","Bird","Termite")</f>
        <v>Bird</v>
      </c>
      <c r="G465">
        <v>27</v>
      </c>
      <c r="H465" s="4">
        <f>+CHOOSE(Tbl_2020[[#This Row],[Type of Service]],2000,3000,3500,4500,5000)*Tbl_2020[[#This Row],[No of Visits]]</f>
        <v>121500</v>
      </c>
    </row>
    <row r="466" spans="2:8" x14ac:dyDescent="0.3">
      <c r="B466" t="s">
        <v>477</v>
      </c>
      <c r="C466" t="s">
        <v>1095</v>
      </c>
      <c r="D466" t="s">
        <v>4</v>
      </c>
      <c r="E466">
        <v>4</v>
      </c>
      <c r="F466" t="str">
        <f>+CHOOSE(Tbl_2020[[#This Row],[Type of Service]],"PEST","Disinfe","Rodent","Bird","Termite")</f>
        <v>Bird</v>
      </c>
      <c r="G466">
        <v>26</v>
      </c>
      <c r="H466" s="4">
        <f>+CHOOSE(Tbl_2020[[#This Row],[Type of Service]],2000,3000,3500,4500,5000)*Tbl_2020[[#This Row],[No of Visits]]</f>
        <v>117000</v>
      </c>
    </row>
    <row r="467" spans="2:8" x14ac:dyDescent="0.3">
      <c r="B467" t="s">
        <v>478</v>
      </c>
      <c r="C467" t="s">
        <v>1035</v>
      </c>
      <c r="D467" t="s">
        <v>6</v>
      </c>
      <c r="E467">
        <v>3</v>
      </c>
      <c r="F467" t="str">
        <f>+CHOOSE(Tbl_2020[[#This Row],[Type of Service]],"PEST","Disinfe","Rodent","Bird","Termite")</f>
        <v>Rodent</v>
      </c>
      <c r="G467">
        <v>6</v>
      </c>
      <c r="H467" s="4">
        <f>+CHOOSE(Tbl_2020[[#This Row],[Type of Service]],2000,3000,3500,4500,5000)*Tbl_2020[[#This Row],[No of Visits]]</f>
        <v>21000</v>
      </c>
    </row>
    <row r="468" spans="2:8" x14ac:dyDescent="0.3">
      <c r="B468" t="s">
        <v>479</v>
      </c>
      <c r="C468" t="s">
        <v>953</v>
      </c>
      <c r="D468" t="s">
        <v>8</v>
      </c>
      <c r="E468">
        <v>4</v>
      </c>
      <c r="F468" t="str">
        <f>+CHOOSE(Tbl_2020[[#This Row],[Type of Service]],"PEST","Disinfe","Rodent","Bird","Termite")</f>
        <v>Bird</v>
      </c>
      <c r="G468">
        <v>17</v>
      </c>
      <c r="H468" s="4">
        <f>+CHOOSE(Tbl_2020[[#This Row],[Type of Service]],2000,3000,3500,4500,5000)*Tbl_2020[[#This Row],[No of Visits]]</f>
        <v>76500</v>
      </c>
    </row>
    <row r="469" spans="2:8" x14ac:dyDescent="0.3">
      <c r="B469" t="s">
        <v>480</v>
      </c>
      <c r="C469" t="s">
        <v>1096</v>
      </c>
      <c r="D469" t="s">
        <v>10</v>
      </c>
      <c r="E469">
        <v>3</v>
      </c>
      <c r="F469" t="str">
        <f>+CHOOSE(Tbl_2020[[#This Row],[Type of Service]],"PEST","Disinfe","Rodent","Bird","Termite")</f>
        <v>Rodent</v>
      </c>
      <c r="G469">
        <v>22</v>
      </c>
      <c r="H469" s="4">
        <f>+CHOOSE(Tbl_2020[[#This Row],[Type of Service]],2000,3000,3500,4500,5000)*Tbl_2020[[#This Row],[No of Visits]]</f>
        <v>77000</v>
      </c>
    </row>
    <row r="470" spans="2:8" x14ac:dyDescent="0.3">
      <c r="B470" t="s">
        <v>481</v>
      </c>
      <c r="C470" t="s">
        <v>1097</v>
      </c>
      <c r="D470" t="s">
        <v>12</v>
      </c>
      <c r="E470">
        <v>3</v>
      </c>
      <c r="F470" t="str">
        <f>+CHOOSE(Tbl_2020[[#This Row],[Type of Service]],"PEST","Disinfe","Rodent","Bird","Termite")</f>
        <v>Rodent</v>
      </c>
      <c r="G470">
        <v>15</v>
      </c>
      <c r="H470" s="4">
        <f>+CHOOSE(Tbl_2020[[#This Row],[Type of Service]],2000,3000,3500,4500,5000)*Tbl_2020[[#This Row],[No of Visits]]</f>
        <v>52500</v>
      </c>
    </row>
    <row r="471" spans="2:8" x14ac:dyDescent="0.3">
      <c r="B471" t="s">
        <v>482</v>
      </c>
      <c r="C471" t="s">
        <v>1062</v>
      </c>
      <c r="D471" t="s">
        <v>14</v>
      </c>
      <c r="E471">
        <v>3</v>
      </c>
      <c r="F471" t="str">
        <f>+CHOOSE(Tbl_2020[[#This Row],[Type of Service]],"PEST","Disinfe","Rodent","Bird","Termite")</f>
        <v>Rodent</v>
      </c>
      <c r="G471">
        <v>22</v>
      </c>
      <c r="H471" s="4">
        <f>+CHOOSE(Tbl_2020[[#This Row],[Type of Service]],2000,3000,3500,4500,5000)*Tbl_2020[[#This Row],[No of Visits]]</f>
        <v>77000</v>
      </c>
    </row>
    <row r="472" spans="2:8" x14ac:dyDescent="0.3">
      <c r="B472" t="s">
        <v>483</v>
      </c>
      <c r="C472" t="s">
        <v>1098</v>
      </c>
      <c r="D472" t="s">
        <v>16</v>
      </c>
      <c r="E472">
        <v>4</v>
      </c>
      <c r="F472" t="str">
        <f>+CHOOSE(Tbl_2020[[#This Row],[Type of Service]],"PEST","Disinfe","Rodent","Bird","Termite")</f>
        <v>Bird</v>
      </c>
      <c r="G472">
        <v>18</v>
      </c>
      <c r="H472" s="4">
        <f>+CHOOSE(Tbl_2020[[#This Row],[Type of Service]],2000,3000,3500,4500,5000)*Tbl_2020[[#This Row],[No of Visits]]</f>
        <v>81000</v>
      </c>
    </row>
    <row r="473" spans="2:8" x14ac:dyDescent="0.3">
      <c r="B473" t="s">
        <v>484</v>
      </c>
      <c r="C473" t="s">
        <v>1099</v>
      </c>
      <c r="D473" t="s">
        <v>4</v>
      </c>
      <c r="E473">
        <v>2</v>
      </c>
      <c r="F473" t="str">
        <f>+CHOOSE(Tbl_2020[[#This Row],[Type of Service]],"PEST","Disinfe","Rodent","Bird","Termite")</f>
        <v>Disinfe</v>
      </c>
      <c r="G473">
        <v>11</v>
      </c>
      <c r="H473" s="4">
        <f>+CHOOSE(Tbl_2020[[#This Row],[Type of Service]],2000,3000,3500,4500,5000)*Tbl_2020[[#This Row],[No of Visits]]</f>
        <v>33000</v>
      </c>
    </row>
    <row r="474" spans="2:8" x14ac:dyDescent="0.3">
      <c r="B474" t="s">
        <v>485</v>
      </c>
      <c r="C474" t="s">
        <v>1100</v>
      </c>
      <c r="D474" t="s">
        <v>6</v>
      </c>
      <c r="E474">
        <v>3</v>
      </c>
      <c r="F474" t="str">
        <f>+CHOOSE(Tbl_2020[[#This Row],[Type of Service]],"PEST","Disinfe","Rodent","Bird","Termite")</f>
        <v>Rodent</v>
      </c>
      <c r="G474">
        <v>26</v>
      </c>
      <c r="H474" s="4">
        <f>+CHOOSE(Tbl_2020[[#This Row],[Type of Service]],2000,3000,3500,4500,5000)*Tbl_2020[[#This Row],[No of Visits]]</f>
        <v>91000</v>
      </c>
    </row>
    <row r="475" spans="2:8" x14ac:dyDescent="0.3">
      <c r="B475" t="s">
        <v>486</v>
      </c>
      <c r="C475" t="s">
        <v>1101</v>
      </c>
      <c r="D475" t="s">
        <v>8</v>
      </c>
      <c r="E475">
        <v>4</v>
      </c>
      <c r="F475" t="str">
        <f>+CHOOSE(Tbl_2020[[#This Row],[Type of Service]],"PEST","Disinfe","Rodent","Bird","Termite")</f>
        <v>Bird</v>
      </c>
      <c r="G475">
        <v>11</v>
      </c>
      <c r="H475" s="4">
        <f>+CHOOSE(Tbl_2020[[#This Row],[Type of Service]],2000,3000,3500,4500,5000)*Tbl_2020[[#This Row],[No of Visits]]</f>
        <v>49500</v>
      </c>
    </row>
    <row r="476" spans="2:8" x14ac:dyDescent="0.3">
      <c r="B476" t="s">
        <v>487</v>
      </c>
      <c r="C476" t="s">
        <v>488</v>
      </c>
      <c r="D476" t="s">
        <v>10</v>
      </c>
      <c r="E476">
        <v>3</v>
      </c>
      <c r="F476" t="str">
        <f>+CHOOSE(Tbl_2020[[#This Row],[Type of Service]],"PEST","Disinfe","Rodent","Bird","Termite")</f>
        <v>Rodent</v>
      </c>
      <c r="G476">
        <v>12</v>
      </c>
      <c r="H476" s="4">
        <f>+CHOOSE(Tbl_2020[[#This Row],[Type of Service]],2000,3000,3500,4500,5000)*Tbl_2020[[#This Row],[No of Visits]]</f>
        <v>42000</v>
      </c>
    </row>
    <row r="477" spans="2:8" x14ac:dyDescent="0.3">
      <c r="B477" t="s">
        <v>489</v>
      </c>
      <c r="C477" t="s">
        <v>860</v>
      </c>
      <c r="D477" t="s">
        <v>12</v>
      </c>
      <c r="E477">
        <v>2</v>
      </c>
      <c r="F477" t="str">
        <f>+CHOOSE(Tbl_2020[[#This Row],[Type of Service]],"PEST","Disinfe","Rodent","Bird","Termite")</f>
        <v>Disinfe</v>
      </c>
      <c r="G477">
        <v>17</v>
      </c>
      <c r="H477" s="4">
        <f>+CHOOSE(Tbl_2020[[#This Row],[Type of Service]],2000,3000,3500,4500,5000)*Tbl_2020[[#This Row],[No of Visits]]</f>
        <v>51000</v>
      </c>
    </row>
    <row r="478" spans="2:8" x14ac:dyDescent="0.3">
      <c r="B478" t="s">
        <v>490</v>
      </c>
      <c r="C478" t="s">
        <v>1102</v>
      </c>
      <c r="D478" t="s">
        <v>14</v>
      </c>
      <c r="E478">
        <v>3</v>
      </c>
      <c r="F478" t="str">
        <f>+CHOOSE(Tbl_2020[[#This Row],[Type of Service]],"PEST","Disinfe","Rodent","Bird","Termite")</f>
        <v>Rodent</v>
      </c>
      <c r="G478">
        <v>20</v>
      </c>
      <c r="H478" s="4">
        <f>+CHOOSE(Tbl_2020[[#This Row],[Type of Service]],2000,3000,3500,4500,5000)*Tbl_2020[[#This Row],[No of Visits]]</f>
        <v>70000</v>
      </c>
    </row>
    <row r="479" spans="2:8" x14ac:dyDescent="0.3">
      <c r="B479" t="s">
        <v>491</v>
      </c>
      <c r="C479" t="s">
        <v>1103</v>
      </c>
      <c r="D479" t="s">
        <v>16</v>
      </c>
      <c r="E479">
        <v>2</v>
      </c>
      <c r="F479" t="str">
        <f>+CHOOSE(Tbl_2020[[#This Row],[Type of Service]],"PEST","Disinfe","Rodent","Bird","Termite")</f>
        <v>Disinfe</v>
      </c>
      <c r="G479">
        <v>19</v>
      </c>
      <c r="H479" s="4">
        <f>+CHOOSE(Tbl_2020[[#This Row],[Type of Service]],2000,3000,3500,4500,5000)*Tbl_2020[[#This Row],[No of Visits]]</f>
        <v>57000</v>
      </c>
    </row>
    <row r="480" spans="2:8" x14ac:dyDescent="0.3">
      <c r="B480" t="s">
        <v>492</v>
      </c>
      <c r="C480" t="s">
        <v>1104</v>
      </c>
      <c r="D480" t="s">
        <v>4</v>
      </c>
      <c r="E480">
        <v>3</v>
      </c>
      <c r="F480" t="str">
        <f>+CHOOSE(Tbl_2020[[#This Row],[Type of Service]],"PEST","Disinfe","Rodent","Bird","Termite")</f>
        <v>Rodent</v>
      </c>
      <c r="G480">
        <v>5</v>
      </c>
      <c r="H480" s="4">
        <f>+CHOOSE(Tbl_2020[[#This Row],[Type of Service]],2000,3000,3500,4500,5000)*Tbl_2020[[#This Row],[No of Visits]]</f>
        <v>17500</v>
      </c>
    </row>
    <row r="481" spans="2:8" x14ac:dyDescent="0.3">
      <c r="B481" t="s">
        <v>493</v>
      </c>
      <c r="C481" t="s">
        <v>766</v>
      </c>
      <c r="D481" t="s">
        <v>6</v>
      </c>
      <c r="E481">
        <v>3</v>
      </c>
      <c r="F481" t="str">
        <f>+CHOOSE(Tbl_2020[[#This Row],[Type of Service]],"PEST","Disinfe","Rodent","Bird","Termite")</f>
        <v>Rodent</v>
      </c>
      <c r="G481">
        <v>7</v>
      </c>
      <c r="H481" s="4">
        <f>+CHOOSE(Tbl_2020[[#This Row],[Type of Service]],2000,3000,3500,4500,5000)*Tbl_2020[[#This Row],[No of Visits]]</f>
        <v>24500</v>
      </c>
    </row>
    <row r="482" spans="2:8" x14ac:dyDescent="0.3">
      <c r="B482" t="s">
        <v>494</v>
      </c>
      <c r="C482" t="s">
        <v>932</v>
      </c>
      <c r="D482" t="s">
        <v>8</v>
      </c>
      <c r="E482">
        <v>4</v>
      </c>
      <c r="F482" t="str">
        <f>+CHOOSE(Tbl_2020[[#This Row],[Type of Service]],"PEST","Disinfe","Rodent","Bird","Termite")</f>
        <v>Bird</v>
      </c>
      <c r="G482">
        <v>22</v>
      </c>
      <c r="H482" s="4">
        <f>+CHOOSE(Tbl_2020[[#This Row],[Type of Service]],2000,3000,3500,4500,5000)*Tbl_2020[[#This Row],[No of Visits]]</f>
        <v>99000</v>
      </c>
    </row>
    <row r="483" spans="2:8" x14ac:dyDescent="0.3">
      <c r="B483" t="s">
        <v>495</v>
      </c>
      <c r="C483" t="s">
        <v>1105</v>
      </c>
      <c r="D483" t="s">
        <v>10</v>
      </c>
      <c r="E483">
        <v>3</v>
      </c>
      <c r="F483" t="str">
        <f>+CHOOSE(Tbl_2020[[#This Row],[Type of Service]],"PEST","Disinfe","Rodent","Bird","Termite")</f>
        <v>Rodent</v>
      </c>
      <c r="G483">
        <v>7</v>
      </c>
      <c r="H483" s="4">
        <f>+CHOOSE(Tbl_2020[[#This Row],[Type of Service]],2000,3000,3500,4500,5000)*Tbl_2020[[#This Row],[No of Visits]]</f>
        <v>24500</v>
      </c>
    </row>
    <row r="484" spans="2:8" x14ac:dyDescent="0.3">
      <c r="B484" t="s">
        <v>496</v>
      </c>
      <c r="C484" t="s">
        <v>1106</v>
      </c>
      <c r="D484" t="s">
        <v>12</v>
      </c>
      <c r="E484">
        <v>3</v>
      </c>
      <c r="F484" t="str">
        <f>+CHOOSE(Tbl_2020[[#This Row],[Type of Service]],"PEST","Disinfe","Rodent","Bird","Termite")</f>
        <v>Rodent</v>
      </c>
      <c r="G484">
        <v>15</v>
      </c>
      <c r="H484" s="4">
        <f>+CHOOSE(Tbl_2020[[#This Row],[Type of Service]],2000,3000,3500,4500,5000)*Tbl_2020[[#This Row],[No of Visits]]</f>
        <v>52500</v>
      </c>
    </row>
    <row r="485" spans="2:8" x14ac:dyDescent="0.3">
      <c r="B485" t="s">
        <v>497</v>
      </c>
      <c r="C485" t="s">
        <v>1107</v>
      </c>
      <c r="D485" t="s">
        <v>14</v>
      </c>
      <c r="E485">
        <v>3</v>
      </c>
      <c r="F485" t="str">
        <f>+CHOOSE(Tbl_2020[[#This Row],[Type of Service]],"PEST","Disinfe","Rodent","Bird","Termite")</f>
        <v>Rodent</v>
      </c>
      <c r="G485">
        <v>2</v>
      </c>
      <c r="H485" s="4">
        <f>+CHOOSE(Tbl_2020[[#This Row],[Type of Service]],2000,3000,3500,4500,5000)*Tbl_2020[[#This Row],[No of Visits]]</f>
        <v>7000</v>
      </c>
    </row>
    <row r="486" spans="2:8" x14ac:dyDescent="0.3">
      <c r="B486" t="s">
        <v>498</v>
      </c>
      <c r="C486" t="s">
        <v>1068</v>
      </c>
      <c r="D486" t="s">
        <v>16</v>
      </c>
      <c r="E486">
        <v>3</v>
      </c>
      <c r="F486" t="str">
        <f>+CHOOSE(Tbl_2020[[#This Row],[Type of Service]],"PEST","Disinfe","Rodent","Bird","Termite")</f>
        <v>Rodent</v>
      </c>
      <c r="G486">
        <v>20</v>
      </c>
      <c r="H486" s="4">
        <f>+CHOOSE(Tbl_2020[[#This Row],[Type of Service]],2000,3000,3500,4500,5000)*Tbl_2020[[#This Row],[No of Visits]]</f>
        <v>70000</v>
      </c>
    </row>
    <row r="487" spans="2:8" x14ac:dyDescent="0.3">
      <c r="B487" t="s">
        <v>499</v>
      </c>
      <c r="C487" t="s">
        <v>1108</v>
      </c>
      <c r="D487" t="s">
        <v>4</v>
      </c>
      <c r="E487">
        <v>3</v>
      </c>
      <c r="F487" t="str">
        <f>+CHOOSE(Tbl_2020[[#This Row],[Type of Service]],"PEST","Disinfe","Rodent","Bird","Termite")</f>
        <v>Rodent</v>
      </c>
      <c r="G487">
        <v>17</v>
      </c>
      <c r="H487" s="4">
        <f>+CHOOSE(Tbl_2020[[#This Row],[Type of Service]],2000,3000,3500,4500,5000)*Tbl_2020[[#This Row],[No of Visits]]</f>
        <v>59500</v>
      </c>
    </row>
    <row r="488" spans="2:8" x14ac:dyDescent="0.3">
      <c r="B488" t="s">
        <v>500</v>
      </c>
      <c r="C488" t="s">
        <v>1109</v>
      </c>
      <c r="D488" t="s">
        <v>6</v>
      </c>
      <c r="E488">
        <v>1</v>
      </c>
      <c r="F488" t="str">
        <f>+CHOOSE(Tbl_2020[[#This Row],[Type of Service]],"PEST","Disinfe","Rodent","Bird","Termite")</f>
        <v>PEST</v>
      </c>
      <c r="G488">
        <v>26</v>
      </c>
      <c r="H488" s="4">
        <f>+CHOOSE(Tbl_2020[[#This Row],[Type of Service]],2000,3000,3500,4500,5000)*Tbl_2020[[#This Row],[No of Visits]]</f>
        <v>52000</v>
      </c>
    </row>
    <row r="489" spans="2:8" x14ac:dyDescent="0.3">
      <c r="B489" t="s">
        <v>501</v>
      </c>
      <c r="C489" t="s">
        <v>1110</v>
      </c>
      <c r="D489" t="s">
        <v>8</v>
      </c>
      <c r="E489">
        <v>3</v>
      </c>
      <c r="F489" t="str">
        <f>+CHOOSE(Tbl_2020[[#This Row],[Type of Service]],"PEST","Disinfe","Rodent","Bird","Termite")</f>
        <v>Rodent</v>
      </c>
      <c r="G489">
        <v>2</v>
      </c>
      <c r="H489" s="4">
        <f>+CHOOSE(Tbl_2020[[#This Row],[Type of Service]],2000,3000,3500,4500,5000)*Tbl_2020[[#This Row],[No of Visits]]</f>
        <v>7000</v>
      </c>
    </row>
    <row r="490" spans="2:8" x14ac:dyDescent="0.3">
      <c r="B490" t="s">
        <v>502</v>
      </c>
      <c r="C490" t="s">
        <v>1111</v>
      </c>
      <c r="D490" t="s">
        <v>10</v>
      </c>
      <c r="E490">
        <v>1</v>
      </c>
      <c r="F490" t="str">
        <f>+CHOOSE(Tbl_2020[[#This Row],[Type of Service]],"PEST","Disinfe","Rodent","Bird","Termite")</f>
        <v>PEST</v>
      </c>
      <c r="G490">
        <v>24</v>
      </c>
      <c r="H490" s="4">
        <f>+CHOOSE(Tbl_2020[[#This Row],[Type of Service]],2000,3000,3500,4500,5000)*Tbl_2020[[#This Row],[No of Visits]]</f>
        <v>48000</v>
      </c>
    </row>
    <row r="491" spans="2:8" x14ac:dyDescent="0.3">
      <c r="B491" t="s">
        <v>503</v>
      </c>
      <c r="C491" t="s">
        <v>1112</v>
      </c>
      <c r="D491" t="s">
        <v>12</v>
      </c>
      <c r="E491">
        <v>3</v>
      </c>
      <c r="F491" t="str">
        <f>+CHOOSE(Tbl_2020[[#This Row],[Type of Service]],"PEST","Disinfe","Rodent","Bird","Termite")</f>
        <v>Rodent</v>
      </c>
      <c r="G491">
        <v>29</v>
      </c>
      <c r="H491" s="4">
        <f>+CHOOSE(Tbl_2020[[#This Row],[Type of Service]],2000,3000,3500,4500,5000)*Tbl_2020[[#This Row],[No of Visits]]</f>
        <v>101500</v>
      </c>
    </row>
    <row r="492" spans="2:8" x14ac:dyDescent="0.3">
      <c r="B492" t="s">
        <v>504</v>
      </c>
      <c r="C492" t="s">
        <v>1113</v>
      </c>
      <c r="D492" t="s">
        <v>14</v>
      </c>
      <c r="E492">
        <v>1</v>
      </c>
      <c r="F492" t="str">
        <f>+CHOOSE(Tbl_2020[[#This Row],[Type of Service]],"PEST","Disinfe","Rodent","Bird","Termite")</f>
        <v>PEST</v>
      </c>
      <c r="G492">
        <v>12</v>
      </c>
      <c r="H492" s="4">
        <f>+CHOOSE(Tbl_2020[[#This Row],[Type of Service]],2000,3000,3500,4500,5000)*Tbl_2020[[#This Row],[No of Visits]]</f>
        <v>24000</v>
      </c>
    </row>
    <row r="493" spans="2:8" x14ac:dyDescent="0.3">
      <c r="B493" t="s">
        <v>505</v>
      </c>
      <c r="C493" t="s">
        <v>1114</v>
      </c>
      <c r="D493" t="s">
        <v>16</v>
      </c>
      <c r="E493">
        <v>2</v>
      </c>
      <c r="F493" t="str">
        <f>+CHOOSE(Tbl_2020[[#This Row],[Type of Service]],"PEST","Disinfe","Rodent","Bird","Termite")</f>
        <v>Disinfe</v>
      </c>
      <c r="G493">
        <v>7</v>
      </c>
      <c r="H493" s="4">
        <f>+CHOOSE(Tbl_2020[[#This Row],[Type of Service]],2000,3000,3500,4500,5000)*Tbl_2020[[#This Row],[No of Visits]]</f>
        <v>21000</v>
      </c>
    </row>
    <row r="494" spans="2:8" x14ac:dyDescent="0.3">
      <c r="B494" t="s">
        <v>506</v>
      </c>
      <c r="C494" t="s">
        <v>1115</v>
      </c>
      <c r="D494" t="s">
        <v>4</v>
      </c>
      <c r="E494">
        <v>3</v>
      </c>
      <c r="F494" t="str">
        <f>+CHOOSE(Tbl_2020[[#This Row],[Type of Service]],"PEST","Disinfe","Rodent","Bird","Termite")</f>
        <v>Rodent</v>
      </c>
      <c r="G494">
        <v>14</v>
      </c>
      <c r="H494" s="4">
        <f>+CHOOSE(Tbl_2020[[#This Row],[Type of Service]],2000,3000,3500,4500,5000)*Tbl_2020[[#This Row],[No of Visits]]</f>
        <v>49000</v>
      </c>
    </row>
    <row r="495" spans="2:8" x14ac:dyDescent="0.3">
      <c r="B495" t="s">
        <v>507</v>
      </c>
      <c r="C495" t="s">
        <v>1116</v>
      </c>
      <c r="D495" t="s">
        <v>6</v>
      </c>
      <c r="E495">
        <v>4</v>
      </c>
      <c r="F495" t="str">
        <f>+CHOOSE(Tbl_2020[[#This Row],[Type of Service]],"PEST","Disinfe","Rodent","Bird","Termite")</f>
        <v>Bird</v>
      </c>
      <c r="G495">
        <v>26</v>
      </c>
      <c r="H495" s="4">
        <f>+CHOOSE(Tbl_2020[[#This Row],[Type of Service]],2000,3000,3500,4500,5000)*Tbl_2020[[#This Row],[No of Visits]]</f>
        <v>117000</v>
      </c>
    </row>
    <row r="496" spans="2:8" x14ac:dyDescent="0.3">
      <c r="B496" t="s">
        <v>508</v>
      </c>
      <c r="C496" t="s">
        <v>820</v>
      </c>
      <c r="D496" t="s">
        <v>8</v>
      </c>
      <c r="E496">
        <v>1</v>
      </c>
      <c r="F496" t="str">
        <f>+CHOOSE(Tbl_2020[[#This Row],[Type of Service]],"PEST","Disinfe","Rodent","Bird","Termite")</f>
        <v>PEST</v>
      </c>
      <c r="G496">
        <v>16</v>
      </c>
      <c r="H496" s="4">
        <f>+CHOOSE(Tbl_2020[[#This Row],[Type of Service]],2000,3000,3500,4500,5000)*Tbl_2020[[#This Row],[No of Visits]]</f>
        <v>32000</v>
      </c>
    </row>
    <row r="497" spans="2:8" x14ac:dyDescent="0.3">
      <c r="B497" t="s">
        <v>509</v>
      </c>
      <c r="C497" t="s">
        <v>1117</v>
      </c>
      <c r="D497" t="s">
        <v>10</v>
      </c>
      <c r="E497">
        <v>4</v>
      </c>
      <c r="F497" t="str">
        <f>+CHOOSE(Tbl_2020[[#This Row],[Type of Service]],"PEST","Disinfe","Rodent","Bird","Termite")</f>
        <v>Bird</v>
      </c>
      <c r="G497">
        <v>29</v>
      </c>
      <c r="H497" s="4">
        <f>+CHOOSE(Tbl_2020[[#This Row],[Type of Service]],2000,3000,3500,4500,5000)*Tbl_2020[[#This Row],[No of Visits]]</f>
        <v>130500</v>
      </c>
    </row>
    <row r="498" spans="2:8" x14ac:dyDescent="0.3">
      <c r="B498" t="s">
        <v>510</v>
      </c>
      <c r="C498" t="s">
        <v>1118</v>
      </c>
      <c r="D498" t="s">
        <v>12</v>
      </c>
      <c r="E498">
        <v>1</v>
      </c>
      <c r="F498" t="str">
        <f>+CHOOSE(Tbl_2020[[#This Row],[Type of Service]],"PEST","Disinfe","Rodent","Bird","Termite")</f>
        <v>PEST</v>
      </c>
      <c r="G498">
        <v>29</v>
      </c>
      <c r="H498" s="4">
        <f>+CHOOSE(Tbl_2020[[#This Row],[Type of Service]],2000,3000,3500,4500,5000)*Tbl_2020[[#This Row],[No of Visits]]</f>
        <v>58000</v>
      </c>
    </row>
    <row r="499" spans="2:8" x14ac:dyDescent="0.3">
      <c r="B499" t="s">
        <v>511</v>
      </c>
      <c r="C499" t="s">
        <v>1119</v>
      </c>
      <c r="D499" t="s">
        <v>14</v>
      </c>
      <c r="E499">
        <v>1</v>
      </c>
      <c r="F499" t="str">
        <f>+CHOOSE(Tbl_2020[[#This Row],[Type of Service]],"PEST","Disinfe","Rodent","Bird","Termite")</f>
        <v>PEST</v>
      </c>
      <c r="G499">
        <v>9</v>
      </c>
      <c r="H499" s="4">
        <f>+CHOOSE(Tbl_2020[[#This Row],[Type of Service]],2000,3000,3500,4500,5000)*Tbl_2020[[#This Row],[No of Visits]]</f>
        <v>18000</v>
      </c>
    </row>
    <row r="500" spans="2:8" x14ac:dyDescent="0.3">
      <c r="B500" t="s">
        <v>512</v>
      </c>
      <c r="C500" t="s">
        <v>1120</v>
      </c>
      <c r="D500" t="s">
        <v>16</v>
      </c>
      <c r="E500">
        <v>1</v>
      </c>
      <c r="F500" t="str">
        <f>+CHOOSE(Tbl_2020[[#This Row],[Type of Service]],"PEST","Disinfe","Rodent","Bird","Termite")</f>
        <v>PEST</v>
      </c>
      <c r="G500">
        <v>17</v>
      </c>
      <c r="H500" s="4">
        <f>+CHOOSE(Tbl_2020[[#This Row],[Type of Service]],2000,3000,3500,4500,5000)*Tbl_2020[[#This Row],[No of Visits]]</f>
        <v>34000</v>
      </c>
    </row>
    <row r="501" spans="2:8" x14ac:dyDescent="0.3">
      <c r="B501" t="s">
        <v>513</v>
      </c>
      <c r="C501" t="s">
        <v>976</v>
      </c>
      <c r="D501" t="s">
        <v>4</v>
      </c>
      <c r="E501">
        <v>3</v>
      </c>
      <c r="F501" t="str">
        <f>+CHOOSE(Tbl_2020[[#This Row],[Type of Service]],"PEST","Disinfe","Rodent","Bird","Termite")</f>
        <v>Rodent</v>
      </c>
      <c r="G501">
        <v>11</v>
      </c>
      <c r="H501" s="4">
        <f>+CHOOSE(Tbl_2020[[#This Row],[Type of Service]],2000,3000,3500,4500,5000)*Tbl_2020[[#This Row],[No of Visits]]</f>
        <v>38500</v>
      </c>
    </row>
    <row r="502" spans="2:8" x14ac:dyDescent="0.3">
      <c r="B502" t="s">
        <v>514</v>
      </c>
      <c r="C502" t="s">
        <v>1121</v>
      </c>
      <c r="D502" t="s">
        <v>6</v>
      </c>
      <c r="E502">
        <v>3</v>
      </c>
      <c r="F502" t="str">
        <f>+CHOOSE(Tbl_2020[[#This Row],[Type of Service]],"PEST","Disinfe","Rodent","Bird","Termite")</f>
        <v>Rodent</v>
      </c>
      <c r="G502">
        <v>22</v>
      </c>
      <c r="H502" s="4">
        <f>+CHOOSE(Tbl_2020[[#This Row],[Type of Service]],2000,3000,3500,4500,5000)*Tbl_2020[[#This Row],[No of Visits]]</f>
        <v>77000</v>
      </c>
    </row>
    <row r="503" spans="2:8" x14ac:dyDescent="0.3">
      <c r="B503" t="s">
        <v>515</v>
      </c>
      <c r="C503" t="s">
        <v>1122</v>
      </c>
      <c r="D503" t="s">
        <v>8</v>
      </c>
      <c r="E503">
        <v>4</v>
      </c>
      <c r="F503" t="str">
        <f>+CHOOSE(Tbl_2020[[#This Row],[Type of Service]],"PEST","Disinfe","Rodent","Bird","Termite")</f>
        <v>Bird</v>
      </c>
      <c r="G503">
        <v>20</v>
      </c>
      <c r="H503" s="4">
        <f>+CHOOSE(Tbl_2020[[#This Row],[Type of Service]],2000,3000,3500,4500,5000)*Tbl_2020[[#This Row],[No of Visits]]</f>
        <v>90000</v>
      </c>
    </row>
    <row r="504" spans="2:8" x14ac:dyDescent="0.3">
      <c r="B504" t="s">
        <v>516</v>
      </c>
      <c r="C504" t="s">
        <v>1123</v>
      </c>
      <c r="D504" t="s">
        <v>10</v>
      </c>
      <c r="E504">
        <v>2</v>
      </c>
      <c r="F504" t="str">
        <f>+CHOOSE(Tbl_2020[[#This Row],[Type of Service]],"PEST","Disinfe","Rodent","Bird","Termite")</f>
        <v>Disinfe</v>
      </c>
      <c r="G504">
        <v>22</v>
      </c>
      <c r="H504" s="4">
        <f>+CHOOSE(Tbl_2020[[#This Row],[Type of Service]],2000,3000,3500,4500,5000)*Tbl_2020[[#This Row],[No of Visits]]</f>
        <v>66000</v>
      </c>
    </row>
    <row r="505" spans="2:8" x14ac:dyDescent="0.3">
      <c r="B505" t="s">
        <v>517</v>
      </c>
      <c r="C505" t="s">
        <v>1124</v>
      </c>
      <c r="D505" t="s">
        <v>12</v>
      </c>
      <c r="E505">
        <v>3</v>
      </c>
      <c r="F505" t="str">
        <f>+CHOOSE(Tbl_2020[[#This Row],[Type of Service]],"PEST","Disinfe","Rodent","Bird","Termite")</f>
        <v>Rodent</v>
      </c>
      <c r="G505">
        <v>2</v>
      </c>
      <c r="H505" s="4">
        <f>+CHOOSE(Tbl_2020[[#This Row],[Type of Service]],2000,3000,3500,4500,5000)*Tbl_2020[[#This Row],[No of Visits]]</f>
        <v>7000</v>
      </c>
    </row>
    <row r="506" spans="2:8" x14ac:dyDescent="0.3">
      <c r="B506" t="s">
        <v>518</v>
      </c>
      <c r="C506" t="s">
        <v>951</v>
      </c>
      <c r="D506" t="s">
        <v>14</v>
      </c>
      <c r="E506">
        <v>3</v>
      </c>
      <c r="F506" t="str">
        <f>+CHOOSE(Tbl_2020[[#This Row],[Type of Service]],"PEST","Disinfe","Rodent","Bird","Termite")</f>
        <v>Rodent</v>
      </c>
      <c r="G506">
        <v>26</v>
      </c>
      <c r="H506" s="4">
        <f>+CHOOSE(Tbl_2020[[#This Row],[Type of Service]],2000,3000,3500,4500,5000)*Tbl_2020[[#This Row],[No of Visits]]</f>
        <v>91000</v>
      </c>
    </row>
    <row r="507" spans="2:8" x14ac:dyDescent="0.3">
      <c r="B507" t="s">
        <v>519</v>
      </c>
      <c r="C507" t="s">
        <v>1036</v>
      </c>
      <c r="D507" t="s">
        <v>16</v>
      </c>
      <c r="E507">
        <v>2</v>
      </c>
      <c r="F507" t="str">
        <f>+CHOOSE(Tbl_2020[[#This Row],[Type of Service]],"PEST","Disinfe","Rodent","Bird","Termite")</f>
        <v>Disinfe</v>
      </c>
      <c r="G507">
        <v>22</v>
      </c>
      <c r="H507" s="4">
        <f>+CHOOSE(Tbl_2020[[#This Row],[Type of Service]],2000,3000,3500,4500,5000)*Tbl_2020[[#This Row],[No of Visits]]</f>
        <v>66000</v>
      </c>
    </row>
    <row r="508" spans="2:8" x14ac:dyDescent="0.3">
      <c r="B508" t="s">
        <v>520</v>
      </c>
      <c r="C508" t="s">
        <v>815</v>
      </c>
      <c r="D508" t="s">
        <v>4</v>
      </c>
      <c r="E508">
        <v>1</v>
      </c>
      <c r="F508" t="str">
        <f>+CHOOSE(Tbl_2020[[#This Row],[Type of Service]],"PEST","Disinfe","Rodent","Bird","Termite")</f>
        <v>PEST</v>
      </c>
      <c r="G508">
        <v>7</v>
      </c>
      <c r="H508" s="4">
        <f>+CHOOSE(Tbl_2020[[#This Row],[Type of Service]],2000,3000,3500,4500,5000)*Tbl_2020[[#This Row],[No of Visits]]</f>
        <v>14000</v>
      </c>
    </row>
    <row r="509" spans="2:8" x14ac:dyDescent="0.3">
      <c r="B509" t="s">
        <v>521</v>
      </c>
      <c r="C509" t="s">
        <v>1125</v>
      </c>
      <c r="D509" t="s">
        <v>6</v>
      </c>
      <c r="E509">
        <v>2</v>
      </c>
      <c r="F509" t="str">
        <f>+CHOOSE(Tbl_2020[[#This Row],[Type of Service]],"PEST","Disinfe","Rodent","Bird","Termite")</f>
        <v>Disinfe</v>
      </c>
      <c r="G509">
        <v>27</v>
      </c>
      <c r="H509" s="4">
        <f>+CHOOSE(Tbl_2020[[#This Row],[Type of Service]],2000,3000,3500,4500,5000)*Tbl_2020[[#This Row],[No of Visits]]</f>
        <v>81000</v>
      </c>
    </row>
    <row r="510" spans="2:8" x14ac:dyDescent="0.3">
      <c r="B510" t="s">
        <v>522</v>
      </c>
      <c r="C510" t="s">
        <v>1126</v>
      </c>
      <c r="D510" t="s">
        <v>8</v>
      </c>
      <c r="E510">
        <v>2</v>
      </c>
      <c r="F510" t="str">
        <f>+CHOOSE(Tbl_2020[[#This Row],[Type of Service]],"PEST","Disinfe","Rodent","Bird","Termite")</f>
        <v>Disinfe</v>
      </c>
      <c r="G510">
        <v>2</v>
      </c>
      <c r="H510" s="4">
        <f>+CHOOSE(Tbl_2020[[#This Row],[Type of Service]],2000,3000,3500,4500,5000)*Tbl_2020[[#This Row],[No of Visits]]</f>
        <v>6000</v>
      </c>
    </row>
    <row r="511" spans="2:8" x14ac:dyDescent="0.3">
      <c r="B511" t="s">
        <v>523</v>
      </c>
      <c r="C511" t="s">
        <v>1127</v>
      </c>
      <c r="D511" t="s">
        <v>10</v>
      </c>
      <c r="E511">
        <v>1</v>
      </c>
      <c r="F511" t="str">
        <f>+CHOOSE(Tbl_2020[[#This Row],[Type of Service]],"PEST","Disinfe","Rodent","Bird","Termite")</f>
        <v>PEST</v>
      </c>
      <c r="G511">
        <v>5</v>
      </c>
      <c r="H511" s="4">
        <f>+CHOOSE(Tbl_2020[[#This Row],[Type of Service]],2000,3000,3500,4500,5000)*Tbl_2020[[#This Row],[No of Visits]]</f>
        <v>10000</v>
      </c>
    </row>
    <row r="512" spans="2:8" x14ac:dyDescent="0.3">
      <c r="B512" t="s">
        <v>524</v>
      </c>
      <c r="C512" t="s">
        <v>1128</v>
      </c>
      <c r="D512" t="s">
        <v>12</v>
      </c>
      <c r="E512">
        <v>3</v>
      </c>
      <c r="F512" t="str">
        <f>+CHOOSE(Tbl_2020[[#This Row],[Type of Service]],"PEST","Disinfe","Rodent","Bird","Termite")</f>
        <v>Rodent</v>
      </c>
      <c r="G512">
        <v>1</v>
      </c>
      <c r="H512" s="4">
        <f>+CHOOSE(Tbl_2020[[#This Row],[Type of Service]],2000,3000,3500,4500,5000)*Tbl_2020[[#This Row],[No of Visits]]</f>
        <v>3500</v>
      </c>
    </row>
    <row r="513" spans="2:8" x14ac:dyDescent="0.3">
      <c r="B513" t="s">
        <v>525</v>
      </c>
      <c r="C513" t="s">
        <v>1129</v>
      </c>
      <c r="D513" t="s">
        <v>14</v>
      </c>
      <c r="E513">
        <v>1</v>
      </c>
      <c r="F513" t="str">
        <f>+CHOOSE(Tbl_2020[[#This Row],[Type of Service]],"PEST","Disinfe","Rodent","Bird","Termite")</f>
        <v>PEST</v>
      </c>
      <c r="G513">
        <v>19</v>
      </c>
      <c r="H513" s="4">
        <f>+CHOOSE(Tbl_2020[[#This Row],[Type of Service]],2000,3000,3500,4500,5000)*Tbl_2020[[#This Row],[No of Visits]]</f>
        <v>38000</v>
      </c>
    </row>
    <row r="514" spans="2:8" x14ac:dyDescent="0.3">
      <c r="B514" t="s">
        <v>526</v>
      </c>
      <c r="C514" t="s">
        <v>1130</v>
      </c>
      <c r="D514" t="s">
        <v>16</v>
      </c>
      <c r="E514">
        <v>2</v>
      </c>
      <c r="F514" t="str">
        <f>+CHOOSE(Tbl_2020[[#This Row],[Type of Service]],"PEST","Disinfe","Rodent","Bird","Termite")</f>
        <v>Disinfe</v>
      </c>
      <c r="G514">
        <v>26</v>
      </c>
      <c r="H514" s="4">
        <f>+CHOOSE(Tbl_2020[[#This Row],[Type of Service]],2000,3000,3500,4500,5000)*Tbl_2020[[#This Row],[No of Visits]]</f>
        <v>78000</v>
      </c>
    </row>
    <row r="515" spans="2:8" x14ac:dyDescent="0.3">
      <c r="B515" t="s">
        <v>527</v>
      </c>
      <c r="C515" t="s">
        <v>1131</v>
      </c>
      <c r="D515" t="s">
        <v>4</v>
      </c>
      <c r="E515">
        <v>4</v>
      </c>
      <c r="F515" t="str">
        <f>+CHOOSE(Tbl_2020[[#This Row],[Type of Service]],"PEST","Disinfe","Rodent","Bird","Termite")</f>
        <v>Bird</v>
      </c>
      <c r="G515">
        <v>2</v>
      </c>
      <c r="H515" s="4">
        <f>+CHOOSE(Tbl_2020[[#This Row],[Type of Service]],2000,3000,3500,4500,5000)*Tbl_2020[[#This Row],[No of Visits]]</f>
        <v>9000</v>
      </c>
    </row>
    <row r="516" spans="2:8" x14ac:dyDescent="0.3">
      <c r="B516" t="s">
        <v>528</v>
      </c>
      <c r="C516" t="s">
        <v>1132</v>
      </c>
      <c r="D516" t="s">
        <v>6</v>
      </c>
      <c r="E516">
        <v>4</v>
      </c>
      <c r="F516" t="str">
        <f>+CHOOSE(Tbl_2020[[#This Row],[Type of Service]],"PEST","Disinfe","Rodent","Bird","Termite")</f>
        <v>Bird</v>
      </c>
      <c r="G516">
        <v>21</v>
      </c>
      <c r="H516" s="4">
        <f>+CHOOSE(Tbl_2020[[#This Row],[Type of Service]],2000,3000,3500,4500,5000)*Tbl_2020[[#This Row],[No of Visits]]</f>
        <v>94500</v>
      </c>
    </row>
    <row r="517" spans="2:8" x14ac:dyDescent="0.3">
      <c r="B517" t="s">
        <v>529</v>
      </c>
      <c r="C517" t="s">
        <v>809</v>
      </c>
      <c r="D517" t="s">
        <v>8</v>
      </c>
      <c r="E517">
        <v>4</v>
      </c>
      <c r="F517" t="str">
        <f>+CHOOSE(Tbl_2020[[#This Row],[Type of Service]],"PEST","Disinfe","Rodent","Bird","Termite")</f>
        <v>Bird</v>
      </c>
      <c r="G517">
        <v>17</v>
      </c>
      <c r="H517" s="4">
        <f>+CHOOSE(Tbl_2020[[#This Row],[Type of Service]],2000,3000,3500,4500,5000)*Tbl_2020[[#This Row],[No of Visits]]</f>
        <v>76500</v>
      </c>
    </row>
    <row r="518" spans="2:8" x14ac:dyDescent="0.3">
      <c r="B518" t="s">
        <v>530</v>
      </c>
      <c r="C518" t="s">
        <v>1133</v>
      </c>
      <c r="D518" t="s">
        <v>10</v>
      </c>
      <c r="E518">
        <v>2</v>
      </c>
      <c r="F518" t="str">
        <f>+CHOOSE(Tbl_2020[[#This Row],[Type of Service]],"PEST","Disinfe","Rodent","Bird","Termite")</f>
        <v>Disinfe</v>
      </c>
      <c r="G518">
        <v>12</v>
      </c>
      <c r="H518" s="4">
        <f>+CHOOSE(Tbl_2020[[#This Row],[Type of Service]],2000,3000,3500,4500,5000)*Tbl_2020[[#This Row],[No of Visits]]</f>
        <v>36000</v>
      </c>
    </row>
    <row r="519" spans="2:8" x14ac:dyDescent="0.3">
      <c r="B519" t="s">
        <v>531</v>
      </c>
      <c r="C519" t="s">
        <v>1134</v>
      </c>
      <c r="D519" t="s">
        <v>12</v>
      </c>
      <c r="E519">
        <v>2</v>
      </c>
      <c r="F519" t="str">
        <f>+CHOOSE(Tbl_2020[[#This Row],[Type of Service]],"PEST","Disinfe","Rodent","Bird","Termite")</f>
        <v>Disinfe</v>
      </c>
      <c r="G519">
        <v>25</v>
      </c>
      <c r="H519" s="4">
        <f>+CHOOSE(Tbl_2020[[#This Row],[Type of Service]],2000,3000,3500,4500,5000)*Tbl_2020[[#This Row],[No of Visits]]</f>
        <v>75000</v>
      </c>
    </row>
    <row r="520" spans="2:8" x14ac:dyDescent="0.3">
      <c r="B520" t="s">
        <v>532</v>
      </c>
      <c r="C520" t="s">
        <v>1135</v>
      </c>
      <c r="D520" t="s">
        <v>14</v>
      </c>
      <c r="E520">
        <v>3</v>
      </c>
      <c r="F520" t="str">
        <f>+CHOOSE(Tbl_2020[[#This Row],[Type of Service]],"PEST","Disinfe","Rodent","Bird","Termite")</f>
        <v>Rodent</v>
      </c>
      <c r="G520">
        <v>19</v>
      </c>
      <c r="H520" s="4">
        <f>+CHOOSE(Tbl_2020[[#This Row],[Type of Service]],2000,3000,3500,4500,5000)*Tbl_2020[[#This Row],[No of Visits]]</f>
        <v>66500</v>
      </c>
    </row>
    <row r="521" spans="2:8" x14ac:dyDescent="0.3">
      <c r="B521" t="s">
        <v>533</v>
      </c>
      <c r="C521" t="s">
        <v>1039</v>
      </c>
      <c r="D521" t="s">
        <v>16</v>
      </c>
      <c r="E521">
        <v>2</v>
      </c>
      <c r="F521" t="str">
        <f>+CHOOSE(Tbl_2020[[#This Row],[Type of Service]],"PEST","Disinfe","Rodent","Bird","Termite")</f>
        <v>Disinfe</v>
      </c>
      <c r="G521">
        <v>2</v>
      </c>
      <c r="H521" s="4">
        <f>+CHOOSE(Tbl_2020[[#This Row],[Type of Service]],2000,3000,3500,4500,5000)*Tbl_2020[[#This Row],[No of Visits]]</f>
        <v>6000</v>
      </c>
    </row>
    <row r="522" spans="2:8" x14ac:dyDescent="0.3">
      <c r="B522" t="s">
        <v>534</v>
      </c>
      <c r="C522" t="s">
        <v>1136</v>
      </c>
      <c r="D522" t="s">
        <v>4</v>
      </c>
      <c r="E522">
        <v>1</v>
      </c>
      <c r="F522" t="str">
        <f>+CHOOSE(Tbl_2020[[#This Row],[Type of Service]],"PEST","Disinfe","Rodent","Bird","Termite")</f>
        <v>PEST</v>
      </c>
      <c r="G522">
        <v>22</v>
      </c>
      <c r="H522" s="4">
        <f>+CHOOSE(Tbl_2020[[#This Row],[Type of Service]],2000,3000,3500,4500,5000)*Tbl_2020[[#This Row],[No of Visits]]</f>
        <v>44000</v>
      </c>
    </row>
    <row r="523" spans="2:8" x14ac:dyDescent="0.3">
      <c r="B523" t="s">
        <v>535</v>
      </c>
      <c r="C523" t="s">
        <v>1137</v>
      </c>
      <c r="D523" t="s">
        <v>6</v>
      </c>
      <c r="E523">
        <v>1</v>
      </c>
      <c r="F523" t="str">
        <f>+CHOOSE(Tbl_2020[[#This Row],[Type of Service]],"PEST","Disinfe","Rodent","Bird","Termite")</f>
        <v>PEST</v>
      </c>
      <c r="G523">
        <v>10</v>
      </c>
      <c r="H523" s="4">
        <f>+CHOOSE(Tbl_2020[[#This Row],[Type of Service]],2000,3000,3500,4500,5000)*Tbl_2020[[#This Row],[No of Visits]]</f>
        <v>20000</v>
      </c>
    </row>
    <row r="524" spans="2:8" x14ac:dyDescent="0.3">
      <c r="B524" t="s">
        <v>536</v>
      </c>
      <c r="C524" t="s">
        <v>745</v>
      </c>
      <c r="D524" t="s">
        <v>8</v>
      </c>
      <c r="E524">
        <v>2</v>
      </c>
      <c r="F524" t="str">
        <f>+CHOOSE(Tbl_2020[[#This Row],[Type of Service]],"PEST","Disinfe","Rodent","Bird","Termite")</f>
        <v>Disinfe</v>
      </c>
      <c r="G524">
        <v>19</v>
      </c>
      <c r="H524" s="4">
        <f>+CHOOSE(Tbl_2020[[#This Row],[Type of Service]],2000,3000,3500,4500,5000)*Tbl_2020[[#This Row],[No of Visits]]</f>
        <v>57000</v>
      </c>
    </row>
    <row r="525" spans="2:8" x14ac:dyDescent="0.3">
      <c r="B525" t="s">
        <v>537</v>
      </c>
      <c r="C525" t="s">
        <v>817</v>
      </c>
      <c r="D525" t="s">
        <v>10</v>
      </c>
      <c r="E525">
        <v>3</v>
      </c>
      <c r="F525" t="str">
        <f>+CHOOSE(Tbl_2020[[#This Row],[Type of Service]],"PEST","Disinfe","Rodent","Bird","Termite")</f>
        <v>Rodent</v>
      </c>
      <c r="G525">
        <v>14</v>
      </c>
      <c r="H525" s="4">
        <f>+CHOOSE(Tbl_2020[[#This Row],[Type of Service]],2000,3000,3500,4500,5000)*Tbl_2020[[#This Row],[No of Visits]]</f>
        <v>49000</v>
      </c>
    </row>
    <row r="526" spans="2:8" x14ac:dyDescent="0.3">
      <c r="B526" t="s">
        <v>538</v>
      </c>
      <c r="C526" t="s">
        <v>1138</v>
      </c>
      <c r="D526" t="s">
        <v>12</v>
      </c>
      <c r="E526">
        <v>3</v>
      </c>
      <c r="F526" t="str">
        <f>+CHOOSE(Tbl_2020[[#This Row],[Type of Service]],"PEST","Disinfe","Rodent","Bird","Termite")</f>
        <v>Rodent</v>
      </c>
      <c r="G526">
        <v>17</v>
      </c>
      <c r="H526" s="4">
        <f>+CHOOSE(Tbl_2020[[#This Row],[Type of Service]],2000,3000,3500,4500,5000)*Tbl_2020[[#This Row],[No of Visits]]</f>
        <v>59500</v>
      </c>
    </row>
    <row r="527" spans="2:8" x14ac:dyDescent="0.3">
      <c r="B527" t="s">
        <v>539</v>
      </c>
      <c r="C527" t="s">
        <v>1139</v>
      </c>
      <c r="D527" t="s">
        <v>14</v>
      </c>
      <c r="E527">
        <v>4</v>
      </c>
      <c r="F527" t="str">
        <f>+CHOOSE(Tbl_2020[[#This Row],[Type of Service]],"PEST","Disinfe","Rodent","Bird","Termite")</f>
        <v>Bird</v>
      </c>
      <c r="G527">
        <v>8</v>
      </c>
      <c r="H527" s="4">
        <f>+CHOOSE(Tbl_2020[[#This Row],[Type of Service]],2000,3000,3500,4500,5000)*Tbl_2020[[#This Row],[No of Visits]]</f>
        <v>36000</v>
      </c>
    </row>
    <row r="528" spans="2:8" x14ac:dyDescent="0.3">
      <c r="B528" t="s">
        <v>540</v>
      </c>
      <c r="C528" t="s">
        <v>1140</v>
      </c>
      <c r="D528" t="s">
        <v>16</v>
      </c>
      <c r="E528">
        <v>1</v>
      </c>
      <c r="F528" t="str">
        <f>+CHOOSE(Tbl_2020[[#This Row],[Type of Service]],"PEST","Disinfe","Rodent","Bird","Termite")</f>
        <v>PEST</v>
      </c>
      <c r="G528">
        <v>25</v>
      </c>
      <c r="H528" s="4">
        <f>+CHOOSE(Tbl_2020[[#This Row],[Type of Service]],2000,3000,3500,4500,5000)*Tbl_2020[[#This Row],[No of Visits]]</f>
        <v>50000</v>
      </c>
    </row>
    <row r="529" spans="2:8" x14ac:dyDescent="0.3">
      <c r="B529" t="s">
        <v>541</v>
      </c>
      <c r="C529" t="s">
        <v>1141</v>
      </c>
      <c r="D529" t="s">
        <v>4</v>
      </c>
      <c r="E529">
        <v>1</v>
      </c>
      <c r="F529" t="str">
        <f>+CHOOSE(Tbl_2020[[#This Row],[Type of Service]],"PEST","Disinfe","Rodent","Bird","Termite")</f>
        <v>PEST</v>
      </c>
      <c r="G529">
        <v>12</v>
      </c>
      <c r="H529" s="4">
        <f>+CHOOSE(Tbl_2020[[#This Row],[Type of Service]],2000,3000,3500,4500,5000)*Tbl_2020[[#This Row],[No of Visits]]</f>
        <v>24000</v>
      </c>
    </row>
    <row r="530" spans="2:8" x14ac:dyDescent="0.3">
      <c r="B530" t="s">
        <v>542</v>
      </c>
      <c r="C530" t="s">
        <v>1142</v>
      </c>
      <c r="D530" t="s">
        <v>6</v>
      </c>
      <c r="E530">
        <v>1</v>
      </c>
      <c r="F530" t="str">
        <f>+CHOOSE(Tbl_2020[[#This Row],[Type of Service]],"PEST","Disinfe","Rodent","Bird","Termite")</f>
        <v>PEST</v>
      </c>
      <c r="G530">
        <v>2</v>
      </c>
      <c r="H530" s="4">
        <f>+CHOOSE(Tbl_2020[[#This Row],[Type of Service]],2000,3000,3500,4500,5000)*Tbl_2020[[#This Row],[No of Visits]]</f>
        <v>4000</v>
      </c>
    </row>
    <row r="531" spans="2:8" x14ac:dyDescent="0.3">
      <c r="B531" t="s">
        <v>543</v>
      </c>
      <c r="C531" t="s">
        <v>818</v>
      </c>
      <c r="D531" t="s">
        <v>8</v>
      </c>
      <c r="E531">
        <v>4</v>
      </c>
      <c r="F531" t="str">
        <f>+CHOOSE(Tbl_2020[[#This Row],[Type of Service]],"PEST","Disinfe","Rodent","Bird","Termite")</f>
        <v>Bird</v>
      </c>
      <c r="G531">
        <v>22</v>
      </c>
      <c r="H531" s="4">
        <f>+CHOOSE(Tbl_2020[[#This Row],[Type of Service]],2000,3000,3500,4500,5000)*Tbl_2020[[#This Row],[No of Visits]]</f>
        <v>99000</v>
      </c>
    </row>
    <row r="532" spans="2:8" x14ac:dyDescent="0.3">
      <c r="B532" t="s">
        <v>544</v>
      </c>
      <c r="C532" t="s">
        <v>1143</v>
      </c>
      <c r="D532" t="s">
        <v>10</v>
      </c>
      <c r="E532">
        <v>1</v>
      </c>
      <c r="F532" t="str">
        <f>+CHOOSE(Tbl_2020[[#This Row],[Type of Service]],"PEST","Disinfe","Rodent","Bird","Termite")</f>
        <v>PEST</v>
      </c>
      <c r="G532">
        <v>6</v>
      </c>
      <c r="H532" s="4">
        <f>+CHOOSE(Tbl_2020[[#This Row],[Type of Service]],2000,3000,3500,4500,5000)*Tbl_2020[[#This Row],[No of Visits]]</f>
        <v>12000</v>
      </c>
    </row>
    <row r="533" spans="2:8" x14ac:dyDescent="0.3">
      <c r="B533" t="s">
        <v>545</v>
      </c>
      <c r="C533" t="s">
        <v>1144</v>
      </c>
      <c r="D533" t="s">
        <v>12</v>
      </c>
      <c r="E533">
        <v>1</v>
      </c>
      <c r="F533" t="str">
        <f>+CHOOSE(Tbl_2020[[#This Row],[Type of Service]],"PEST","Disinfe","Rodent","Bird","Termite")</f>
        <v>PEST</v>
      </c>
      <c r="G533">
        <v>20</v>
      </c>
      <c r="H533" s="4">
        <f>+CHOOSE(Tbl_2020[[#This Row],[Type of Service]],2000,3000,3500,4500,5000)*Tbl_2020[[#This Row],[No of Visits]]</f>
        <v>40000</v>
      </c>
    </row>
    <row r="534" spans="2:8" x14ac:dyDescent="0.3">
      <c r="B534" t="s">
        <v>546</v>
      </c>
      <c r="C534" t="s">
        <v>976</v>
      </c>
      <c r="D534" t="s">
        <v>14</v>
      </c>
      <c r="E534">
        <v>2</v>
      </c>
      <c r="F534" t="str">
        <f>+CHOOSE(Tbl_2020[[#This Row],[Type of Service]],"PEST","Disinfe","Rodent","Bird","Termite")</f>
        <v>Disinfe</v>
      </c>
      <c r="G534">
        <v>9</v>
      </c>
      <c r="H534" s="4">
        <f>+CHOOSE(Tbl_2020[[#This Row],[Type of Service]],2000,3000,3500,4500,5000)*Tbl_2020[[#This Row],[No of Visits]]</f>
        <v>27000</v>
      </c>
    </row>
    <row r="535" spans="2:8" x14ac:dyDescent="0.3">
      <c r="B535" t="s">
        <v>547</v>
      </c>
      <c r="C535" t="s">
        <v>1145</v>
      </c>
      <c r="D535" t="s">
        <v>16</v>
      </c>
      <c r="E535">
        <v>1</v>
      </c>
      <c r="F535" t="str">
        <f>+CHOOSE(Tbl_2020[[#This Row],[Type of Service]],"PEST","Disinfe","Rodent","Bird","Termite")</f>
        <v>PEST</v>
      </c>
      <c r="G535">
        <v>9</v>
      </c>
      <c r="H535" s="4">
        <f>+CHOOSE(Tbl_2020[[#This Row],[Type of Service]],2000,3000,3500,4500,5000)*Tbl_2020[[#This Row],[No of Visits]]</f>
        <v>18000</v>
      </c>
    </row>
    <row r="536" spans="2:8" x14ac:dyDescent="0.3">
      <c r="B536" t="s">
        <v>548</v>
      </c>
      <c r="C536" t="s">
        <v>754</v>
      </c>
      <c r="D536" t="s">
        <v>4</v>
      </c>
      <c r="E536">
        <v>1</v>
      </c>
      <c r="F536" t="str">
        <f>+CHOOSE(Tbl_2020[[#This Row],[Type of Service]],"PEST","Disinfe","Rodent","Bird","Termite")</f>
        <v>PEST</v>
      </c>
      <c r="G536">
        <v>22</v>
      </c>
      <c r="H536" s="4">
        <f>+CHOOSE(Tbl_2020[[#This Row],[Type of Service]],2000,3000,3500,4500,5000)*Tbl_2020[[#This Row],[No of Visits]]</f>
        <v>44000</v>
      </c>
    </row>
    <row r="537" spans="2:8" x14ac:dyDescent="0.3">
      <c r="B537" t="s">
        <v>549</v>
      </c>
      <c r="C537" t="s">
        <v>793</v>
      </c>
      <c r="D537" t="s">
        <v>6</v>
      </c>
      <c r="E537">
        <v>3</v>
      </c>
      <c r="F537" t="str">
        <f>+CHOOSE(Tbl_2020[[#This Row],[Type of Service]],"PEST","Disinfe","Rodent","Bird","Termite")</f>
        <v>Rodent</v>
      </c>
      <c r="G537">
        <v>22</v>
      </c>
      <c r="H537" s="4">
        <f>+CHOOSE(Tbl_2020[[#This Row],[Type of Service]],2000,3000,3500,4500,5000)*Tbl_2020[[#This Row],[No of Visits]]</f>
        <v>77000</v>
      </c>
    </row>
    <row r="538" spans="2:8" x14ac:dyDescent="0.3">
      <c r="B538" t="s">
        <v>550</v>
      </c>
      <c r="C538" t="s">
        <v>1146</v>
      </c>
      <c r="D538" t="s">
        <v>8</v>
      </c>
      <c r="E538">
        <v>1</v>
      </c>
      <c r="F538" t="str">
        <f>+CHOOSE(Tbl_2020[[#This Row],[Type of Service]],"PEST","Disinfe","Rodent","Bird","Termite")</f>
        <v>PEST</v>
      </c>
      <c r="G538">
        <v>25</v>
      </c>
      <c r="H538" s="4">
        <f>+CHOOSE(Tbl_2020[[#This Row],[Type of Service]],2000,3000,3500,4500,5000)*Tbl_2020[[#This Row],[No of Visits]]</f>
        <v>50000</v>
      </c>
    </row>
    <row r="539" spans="2:8" x14ac:dyDescent="0.3">
      <c r="B539" t="s">
        <v>551</v>
      </c>
      <c r="C539" t="s">
        <v>815</v>
      </c>
      <c r="D539" t="s">
        <v>10</v>
      </c>
      <c r="E539">
        <v>4</v>
      </c>
      <c r="F539" t="str">
        <f>+CHOOSE(Tbl_2020[[#This Row],[Type of Service]],"PEST","Disinfe","Rodent","Bird","Termite")</f>
        <v>Bird</v>
      </c>
      <c r="G539">
        <v>16</v>
      </c>
      <c r="H539" s="4">
        <f>+CHOOSE(Tbl_2020[[#This Row],[Type of Service]],2000,3000,3500,4500,5000)*Tbl_2020[[#This Row],[No of Visits]]</f>
        <v>72000</v>
      </c>
    </row>
    <row r="540" spans="2:8" x14ac:dyDescent="0.3">
      <c r="B540" t="s">
        <v>552</v>
      </c>
      <c r="C540" t="s">
        <v>1147</v>
      </c>
      <c r="D540" t="s">
        <v>12</v>
      </c>
      <c r="E540">
        <v>3</v>
      </c>
      <c r="F540" t="str">
        <f>+CHOOSE(Tbl_2020[[#This Row],[Type of Service]],"PEST","Disinfe","Rodent","Bird","Termite")</f>
        <v>Rodent</v>
      </c>
      <c r="G540">
        <v>18</v>
      </c>
      <c r="H540" s="4">
        <f>+CHOOSE(Tbl_2020[[#This Row],[Type of Service]],2000,3000,3500,4500,5000)*Tbl_2020[[#This Row],[No of Visits]]</f>
        <v>63000</v>
      </c>
    </row>
    <row r="541" spans="2:8" x14ac:dyDescent="0.3">
      <c r="B541" t="s">
        <v>553</v>
      </c>
      <c r="C541" t="s">
        <v>997</v>
      </c>
      <c r="D541" t="s">
        <v>14</v>
      </c>
      <c r="E541">
        <v>3</v>
      </c>
      <c r="F541" t="str">
        <f>+CHOOSE(Tbl_2020[[#This Row],[Type of Service]],"PEST","Disinfe","Rodent","Bird","Termite")</f>
        <v>Rodent</v>
      </c>
      <c r="G541">
        <v>2</v>
      </c>
      <c r="H541" s="4">
        <f>+CHOOSE(Tbl_2020[[#This Row],[Type of Service]],2000,3000,3500,4500,5000)*Tbl_2020[[#This Row],[No of Visits]]</f>
        <v>7000</v>
      </c>
    </row>
    <row r="542" spans="2:8" x14ac:dyDescent="0.3">
      <c r="B542" t="s">
        <v>554</v>
      </c>
      <c r="C542" t="s">
        <v>1148</v>
      </c>
      <c r="D542" t="s">
        <v>16</v>
      </c>
      <c r="E542">
        <v>1</v>
      </c>
      <c r="F542" t="str">
        <f>+CHOOSE(Tbl_2020[[#This Row],[Type of Service]],"PEST","Disinfe","Rodent","Bird","Termite")</f>
        <v>PEST</v>
      </c>
      <c r="G542">
        <v>10</v>
      </c>
      <c r="H542" s="4">
        <f>+CHOOSE(Tbl_2020[[#This Row],[Type of Service]],2000,3000,3500,4500,5000)*Tbl_2020[[#This Row],[No of Visits]]</f>
        <v>20000</v>
      </c>
    </row>
    <row r="543" spans="2:8" x14ac:dyDescent="0.3">
      <c r="B543" t="s">
        <v>555</v>
      </c>
      <c r="C543" t="s">
        <v>1149</v>
      </c>
      <c r="D543" t="s">
        <v>4</v>
      </c>
      <c r="E543">
        <v>2</v>
      </c>
      <c r="F543" t="str">
        <f>+CHOOSE(Tbl_2020[[#This Row],[Type of Service]],"PEST","Disinfe","Rodent","Bird","Termite")</f>
        <v>Disinfe</v>
      </c>
      <c r="G543">
        <v>12</v>
      </c>
      <c r="H543" s="4">
        <f>+CHOOSE(Tbl_2020[[#This Row],[Type of Service]],2000,3000,3500,4500,5000)*Tbl_2020[[#This Row],[No of Visits]]</f>
        <v>36000</v>
      </c>
    </row>
    <row r="544" spans="2:8" x14ac:dyDescent="0.3">
      <c r="B544" t="s">
        <v>556</v>
      </c>
      <c r="C544" t="s">
        <v>1150</v>
      </c>
      <c r="D544" t="s">
        <v>6</v>
      </c>
      <c r="E544">
        <v>4</v>
      </c>
      <c r="F544" t="str">
        <f>+CHOOSE(Tbl_2020[[#This Row],[Type of Service]],"PEST","Disinfe","Rodent","Bird","Termite")</f>
        <v>Bird</v>
      </c>
      <c r="G544">
        <v>2</v>
      </c>
      <c r="H544" s="4">
        <f>+CHOOSE(Tbl_2020[[#This Row],[Type of Service]],2000,3000,3500,4500,5000)*Tbl_2020[[#This Row],[No of Visits]]</f>
        <v>9000</v>
      </c>
    </row>
    <row r="545" spans="2:8" x14ac:dyDescent="0.3">
      <c r="B545" t="s">
        <v>557</v>
      </c>
      <c r="C545" t="s">
        <v>1151</v>
      </c>
      <c r="D545" t="s">
        <v>8</v>
      </c>
      <c r="E545">
        <v>3</v>
      </c>
      <c r="F545" t="str">
        <f>+CHOOSE(Tbl_2020[[#This Row],[Type of Service]],"PEST","Disinfe","Rodent","Bird","Termite")</f>
        <v>Rodent</v>
      </c>
      <c r="G545">
        <v>5</v>
      </c>
      <c r="H545" s="4">
        <f>+CHOOSE(Tbl_2020[[#This Row],[Type of Service]],2000,3000,3500,4500,5000)*Tbl_2020[[#This Row],[No of Visits]]</f>
        <v>17500</v>
      </c>
    </row>
    <row r="546" spans="2:8" x14ac:dyDescent="0.3">
      <c r="B546" t="s">
        <v>558</v>
      </c>
      <c r="C546" t="s">
        <v>1152</v>
      </c>
      <c r="D546" t="s">
        <v>10</v>
      </c>
      <c r="E546">
        <v>4</v>
      </c>
      <c r="F546" t="str">
        <f>+CHOOSE(Tbl_2020[[#This Row],[Type of Service]],"PEST","Disinfe","Rodent","Bird","Termite")</f>
        <v>Bird</v>
      </c>
      <c r="G546">
        <v>16</v>
      </c>
      <c r="H546" s="4">
        <f>+CHOOSE(Tbl_2020[[#This Row],[Type of Service]],2000,3000,3500,4500,5000)*Tbl_2020[[#This Row],[No of Visits]]</f>
        <v>72000</v>
      </c>
    </row>
    <row r="547" spans="2:8" x14ac:dyDescent="0.3">
      <c r="B547" t="s">
        <v>559</v>
      </c>
      <c r="C547" t="s">
        <v>1153</v>
      </c>
      <c r="D547" t="s">
        <v>12</v>
      </c>
      <c r="E547">
        <v>4</v>
      </c>
      <c r="F547" t="str">
        <f>+CHOOSE(Tbl_2020[[#This Row],[Type of Service]],"PEST","Disinfe","Rodent","Bird","Termite")</f>
        <v>Bird</v>
      </c>
      <c r="G547">
        <v>2</v>
      </c>
      <c r="H547" s="4">
        <f>+CHOOSE(Tbl_2020[[#This Row],[Type of Service]],2000,3000,3500,4500,5000)*Tbl_2020[[#This Row],[No of Visits]]</f>
        <v>9000</v>
      </c>
    </row>
    <row r="548" spans="2:8" x14ac:dyDescent="0.3">
      <c r="B548" t="s">
        <v>560</v>
      </c>
      <c r="C548" t="s">
        <v>1154</v>
      </c>
      <c r="D548" t="s">
        <v>14</v>
      </c>
      <c r="E548">
        <v>1</v>
      </c>
      <c r="F548" t="str">
        <f>+CHOOSE(Tbl_2020[[#This Row],[Type of Service]],"PEST","Disinfe","Rodent","Bird","Termite")</f>
        <v>PEST</v>
      </c>
      <c r="G548">
        <v>21</v>
      </c>
      <c r="H548" s="4">
        <f>+CHOOSE(Tbl_2020[[#This Row],[Type of Service]],2000,3000,3500,4500,5000)*Tbl_2020[[#This Row],[No of Visits]]</f>
        <v>42000</v>
      </c>
    </row>
    <row r="549" spans="2:8" x14ac:dyDescent="0.3">
      <c r="B549" t="s">
        <v>561</v>
      </c>
      <c r="C549" t="s">
        <v>1155</v>
      </c>
      <c r="D549" t="s">
        <v>16</v>
      </c>
      <c r="E549">
        <v>2</v>
      </c>
      <c r="F549" t="str">
        <f>+CHOOSE(Tbl_2020[[#This Row],[Type of Service]],"PEST","Disinfe","Rodent","Bird","Termite")</f>
        <v>Disinfe</v>
      </c>
      <c r="G549">
        <v>25</v>
      </c>
      <c r="H549" s="4">
        <f>+CHOOSE(Tbl_2020[[#This Row],[Type of Service]],2000,3000,3500,4500,5000)*Tbl_2020[[#This Row],[No of Visits]]</f>
        <v>75000</v>
      </c>
    </row>
    <row r="550" spans="2:8" x14ac:dyDescent="0.3">
      <c r="B550" t="s">
        <v>562</v>
      </c>
      <c r="C550" t="s">
        <v>1156</v>
      </c>
      <c r="D550" t="s">
        <v>4</v>
      </c>
      <c r="E550">
        <v>2</v>
      </c>
      <c r="F550" t="str">
        <f>+CHOOSE(Tbl_2020[[#This Row],[Type of Service]],"PEST","Disinfe","Rodent","Bird","Termite")</f>
        <v>Disinfe</v>
      </c>
      <c r="G550">
        <v>29</v>
      </c>
      <c r="H550" s="4">
        <f>+CHOOSE(Tbl_2020[[#This Row],[Type of Service]],2000,3000,3500,4500,5000)*Tbl_2020[[#This Row],[No of Visits]]</f>
        <v>87000</v>
      </c>
    </row>
    <row r="551" spans="2:8" x14ac:dyDescent="0.3">
      <c r="B551" t="s">
        <v>563</v>
      </c>
      <c r="C551" t="s">
        <v>1157</v>
      </c>
      <c r="D551" t="s">
        <v>6</v>
      </c>
      <c r="E551">
        <v>2</v>
      </c>
      <c r="F551" t="str">
        <f>+CHOOSE(Tbl_2020[[#This Row],[Type of Service]],"PEST","Disinfe","Rodent","Bird","Termite")</f>
        <v>Disinfe</v>
      </c>
      <c r="G551">
        <v>4</v>
      </c>
      <c r="H551" s="4">
        <f>+CHOOSE(Tbl_2020[[#This Row],[Type of Service]],2000,3000,3500,4500,5000)*Tbl_2020[[#This Row],[No of Visits]]</f>
        <v>12000</v>
      </c>
    </row>
    <row r="552" spans="2:8" x14ac:dyDescent="0.3">
      <c r="B552" t="s">
        <v>564</v>
      </c>
      <c r="C552" t="s">
        <v>1158</v>
      </c>
      <c r="D552" t="s">
        <v>8</v>
      </c>
      <c r="E552">
        <v>4</v>
      </c>
      <c r="F552" t="str">
        <f>+CHOOSE(Tbl_2020[[#This Row],[Type of Service]],"PEST","Disinfe","Rodent","Bird","Termite")</f>
        <v>Bird</v>
      </c>
      <c r="G552">
        <v>22</v>
      </c>
      <c r="H552" s="4">
        <f>+CHOOSE(Tbl_2020[[#This Row],[Type of Service]],2000,3000,3500,4500,5000)*Tbl_2020[[#This Row],[No of Visits]]</f>
        <v>99000</v>
      </c>
    </row>
    <row r="553" spans="2:8" x14ac:dyDescent="0.3">
      <c r="B553" t="s">
        <v>565</v>
      </c>
      <c r="C553" t="s">
        <v>1107</v>
      </c>
      <c r="D553" t="s">
        <v>10</v>
      </c>
      <c r="E553">
        <v>3</v>
      </c>
      <c r="F553" t="str">
        <f>+CHOOSE(Tbl_2020[[#This Row],[Type of Service]],"PEST","Disinfe","Rodent","Bird","Termite")</f>
        <v>Rodent</v>
      </c>
      <c r="G553">
        <v>28</v>
      </c>
      <c r="H553" s="4">
        <f>+CHOOSE(Tbl_2020[[#This Row],[Type of Service]],2000,3000,3500,4500,5000)*Tbl_2020[[#This Row],[No of Visits]]</f>
        <v>98000</v>
      </c>
    </row>
    <row r="554" spans="2:8" x14ac:dyDescent="0.3">
      <c r="B554" t="s">
        <v>566</v>
      </c>
      <c r="C554" t="s">
        <v>1159</v>
      </c>
      <c r="D554" t="s">
        <v>12</v>
      </c>
      <c r="E554">
        <v>1</v>
      </c>
      <c r="F554" t="str">
        <f>+CHOOSE(Tbl_2020[[#This Row],[Type of Service]],"PEST","Disinfe","Rodent","Bird","Termite")</f>
        <v>PEST</v>
      </c>
      <c r="G554">
        <v>4</v>
      </c>
      <c r="H554" s="4">
        <f>+CHOOSE(Tbl_2020[[#This Row],[Type of Service]],2000,3000,3500,4500,5000)*Tbl_2020[[#This Row],[No of Visits]]</f>
        <v>8000</v>
      </c>
    </row>
    <row r="555" spans="2:8" x14ac:dyDescent="0.3">
      <c r="B555" t="s">
        <v>567</v>
      </c>
      <c r="C555" t="s">
        <v>966</v>
      </c>
      <c r="D555" t="s">
        <v>14</v>
      </c>
      <c r="E555">
        <v>3</v>
      </c>
      <c r="F555" t="str">
        <f>+CHOOSE(Tbl_2020[[#This Row],[Type of Service]],"PEST","Disinfe","Rodent","Bird","Termite")</f>
        <v>Rodent</v>
      </c>
      <c r="G555">
        <v>19</v>
      </c>
      <c r="H555" s="4">
        <f>+CHOOSE(Tbl_2020[[#This Row],[Type of Service]],2000,3000,3500,4500,5000)*Tbl_2020[[#This Row],[No of Visits]]</f>
        <v>66500</v>
      </c>
    </row>
    <row r="556" spans="2:8" x14ac:dyDescent="0.3">
      <c r="B556" t="s">
        <v>568</v>
      </c>
      <c r="C556" t="s">
        <v>1160</v>
      </c>
      <c r="D556" t="s">
        <v>16</v>
      </c>
      <c r="E556">
        <v>2</v>
      </c>
      <c r="F556" t="str">
        <f>+CHOOSE(Tbl_2020[[#This Row],[Type of Service]],"PEST","Disinfe","Rodent","Bird","Termite")</f>
        <v>Disinfe</v>
      </c>
      <c r="G556">
        <v>26</v>
      </c>
      <c r="H556" s="4">
        <f>+CHOOSE(Tbl_2020[[#This Row],[Type of Service]],2000,3000,3500,4500,5000)*Tbl_2020[[#This Row],[No of Visits]]</f>
        <v>78000</v>
      </c>
    </row>
    <row r="557" spans="2:8" x14ac:dyDescent="0.3">
      <c r="B557" t="s">
        <v>569</v>
      </c>
      <c r="C557" t="s">
        <v>1161</v>
      </c>
      <c r="D557" t="s">
        <v>4</v>
      </c>
      <c r="E557">
        <v>4</v>
      </c>
      <c r="F557" t="str">
        <f>+CHOOSE(Tbl_2020[[#This Row],[Type of Service]],"PEST","Disinfe","Rodent","Bird","Termite")</f>
        <v>Bird</v>
      </c>
      <c r="G557">
        <v>12</v>
      </c>
      <c r="H557" s="4">
        <f>+CHOOSE(Tbl_2020[[#This Row],[Type of Service]],2000,3000,3500,4500,5000)*Tbl_2020[[#This Row],[No of Visits]]</f>
        <v>54000</v>
      </c>
    </row>
    <row r="558" spans="2:8" x14ac:dyDescent="0.3">
      <c r="B558" t="s">
        <v>570</v>
      </c>
      <c r="C558" t="s">
        <v>1162</v>
      </c>
      <c r="D558" t="s">
        <v>6</v>
      </c>
      <c r="E558">
        <v>4</v>
      </c>
      <c r="F558" t="str">
        <f>+CHOOSE(Tbl_2020[[#This Row],[Type of Service]],"PEST","Disinfe","Rodent","Bird","Termite")</f>
        <v>Bird</v>
      </c>
      <c r="G558">
        <v>12</v>
      </c>
      <c r="H558" s="4">
        <f>+CHOOSE(Tbl_2020[[#This Row],[Type of Service]],2000,3000,3500,4500,5000)*Tbl_2020[[#This Row],[No of Visits]]</f>
        <v>54000</v>
      </c>
    </row>
    <row r="559" spans="2:8" x14ac:dyDescent="0.3">
      <c r="B559" t="s">
        <v>571</v>
      </c>
      <c r="C559" t="s">
        <v>1048</v>
      </c>
      <c r="D559" t="s">
        <v>8</v>
      </c>
      <c r="E559">
        <v>3</v>
      </c>
      <c r="F559" t="str">
        <f>+CHOOSE(Tbl_2020[[#This Row],[Type of Service]],"PEST","Disinfe","Rodent","Bird","Termite")</f>
        <v>Rodent</v>
      </c>
      <c r="G559">
        <v>25</v>
      </c>
      <c r="H559" s="4">
        <f>+CHOOSE(Tbl_2020[[#This Row],[Type of Service]],2000,3000,3500,4500,5000)*Tbl_2020[[#This Row],[No of Visits]]</f>
        <v>87500</v>
      </c>
    </row>
    <row r="560" spans="2:8" x14ac:dyDescent="0.3">
      <c r="B560" t="s">
        <v>572</v>
      </c>
      <c r="C560" t="s">
        <v>1163</v>
      </c>
      <c r="D560" t="s">
        <v>10</v>
      </c>
      <c r="E560">
        <v>4</v>
      </c>
      <c r="F560" t="str">
        <f>+CHOOSE(Tbl_2020[[#This Row],[Type of Service]],"PEST","Disinfe","Rodent","Bird","Termite")</f>
        <v>Bird</v>
      </c>
      <c r="G560">
        <v>22</v>
      </c>
      <c r="H560" s="4">
        <f>+CHOOSE(Tbl_2020[[#This Row],[Type of Service]],2000,3000,3500,4500,5000)*Tbl_2020[[#This Row],[No of Visits]]</f>
        <v>99000</v>
      </c>
    </row>
    <row r="561" spans="2:8" x14ac:dyDescent="0.3">
      <c r="B561" t="s">
        <v>573</v>
      </c>
      <c r="C561" t="s">
        <v>1164</v>
      </c>
      <c r="D561" t="s">
        <v>12</v>
      </c>
      <c r="E561">
        <v>1</v>
      </c>
      <c r="F561" t="str">
        <f>+CHOOSE(Tbl_2020[[#This Row],[Type of Service]],"PEST","Disinfe","Rodent","Bird","Termite")</f>
        <v>PEST</v>
      </c>
      <c r="G561">
        <v>24</v>
      </c>
      <c r="H561" s="4">
        <f>+CHOOSE(Tbl_2020[[#This Row],[Type of Service]],2000,3000,3500,4500,5000)*Tbl_2020[[#This Row],[No of Visits]]</f>
        <v>48000</v>
      </c>
    </row>
    <row r="562" spans="2:8" x14ac:dyDescent="0.3">
      <c r="B562" t="s">
        <v>574</v>
      </c>
      <c r="C562" t="s">
        <v>1165</v>
      </c>
      <c r="D562" t="s">
        <v>14</v>
      </c>
      <c r="E562">
        <v>3</v>
      </c>
      <c r="F562" t="str">
        <f>+CHOOSE(Tbl_2020[[#This Row],[Type of Service]],"PEST","Disinfe","Rodent","Bird","Termite")</f>
        <v>Rodent</v>
      </c>
      <c r="G562">
        <v>24</v>
      </c>
      <c r="H562" s="4">
        <f>+CHOOSE(Tbl_2020[[#This Row],[Type of Service]],2000,3000,3500,4500,5000)*Tbl_2020[[#This Row],[No of Visits]]</f>
        <v>84000</v>
      </c>
    </row>
    <row r="563" spans="2:8" x14ac:dyDescent="0.3">
      <c r="B563" t="s">
        <v>575</v>
      </c>
      <c r="C563" t="s">
        <v>853</v>
      </c>
      <c r="D563" t="s">
        <v>16</v>
      </c>
      <c r="E563">
        <v>1</v>
      </c>
      <c r="F563" t="str">
        <f>+CHOOSE(Tbl_2020[[#This Row],[Type of Service]],"PEST","Disinfe","Rodent","Bird","Termite")</f>
        <v>PEST</v>
      </c>
      <c r="G563">
        <v>27</v>
      </c>
      <c r="H563" s="4">
        <f>+CHOOSE(Tbl_2020[[#This Row],[Type of Service]],2000,3000,3500,4500,5000)*Tbl_2020[[#This Row],[No of Visits]]</f>
        <v>54000</v>
      </c>
    </row>
    <row r="564" spans="2:8" x14ac:dyDescent="0.3">
      <c r="B564" t="s">
        <v>576</v>
      </c>
      <c r="C564" t="s">
        <v>1166</v>
      </c>
      <c r="D564" t="s">
        <v>4</v>
      </c>
      <c r="E564">
        <v>1</v>
      </c>
      <c r="F564" t="str">
        <f>+CHOOSE(Tbl_2020[[#This Row],[Type of Service]],"PEST","Disinfe","Rodent","Bird","Termite")</f>
        <v>PEST</v>
      </c>
      <c r="G564">
        <v>4</v>
      </c>
      <c r="H564" s="4">
        <f>+CHOOSE(Tbl_2020[[#This Row],[Type of Service]],2000,3000,3500,4500,5000)*Tbl_2020[[#This Row],[No of Visits]]</f>
        <v>8000</v>
      </c>
    </row>
    <row r="565" spans="2:8" x14ac:dyDescent="0.3">
      <c r="B565" t="s">
        <v>577</v>
      </c>
      <c r="C565" t="s">
        <v>1167</v>
      </c>
      <c r="D565" t="s">
        <v>6</v>
      </c>
      <c r="E565">
        <v>3</v>
      </c>
      <c r="F565" t="str">
        <f>+CHOOSE(Tbl_2020[[#This Row],[Type of Service]],"PEST","Disinfe","Rodent","Bird","Termite")</f>
        <v>Rodent</v>
      </c>
      <c r="G565">
        <v>15</v>
      </c>
      <c r="H565" s="4">
        <f>+CHOOSE(Tbl_2020[[#This Row],[Type of Service]],2000,3000,3500,4500,5000)*Tbl_2020[[#This Row],[No of Visits]]</f>
        <v>52500</v>
      </c>
    </row>
    <row r="566" spans="2:8" x14ac:dyDescent="0.3">
      <c r="B566" t="s">
        <v>578</v>
      </c>
      <c r="C566" t="s">
        <v>1168</v>
      </c>
      <c r="D566" t="s">
        <v>8</v>
      </c>
      <c r="E566">
        <v>4</v>
      </c>
      <c r="F566" t="str">
        <f>+CHOOSE(Tbl_2020[[#This Row],[Type of Service]],"PEST","Disinfe","Rodent","Bird","Termite")</f>
        <v>Bird</v>
      </c>
      <c r="G566">
        <v>22</v>
      </c>
      <c r="H566" s="4">
        <f>+CHOOSE(Tbl_2020[[#This Row],[Type of Service]],2000,3000,3500,4500,5000)*Tbl_2020[[#This Row],[No of Visits]]</f>
        <v>99000</v>
      </c>
    </row>
    <row r="567" spans="2:8" x14ac:dyDescent="0.3">
      <c r="B567" t="s">
        <v>579</v>
      </c>
      <c r="C567" t="s">
        <v>1169</v>
      </c>
      <c r="D567" t="s">
        <v>10</v>
      </c>
      <c r="E567">
        <v>2</v>
      </c>
      <c r="F567" t="str">
        <f>+CHOOSE(Tbl_2020[[#This Row],[Type of Service]],"PEST","Disinfe","Rodent","Bird","Termite")</f>
        <v>Disinfe</v>
      </c>
      <c r="G567">
        <v>20</v>
      </c>
      <c r="H567" s="4">
        <f>+CHOOSE(Tbl_2020[[#This Row],[Type of Service]],2000,3000,3500,4500,5000)*Tbl_2020[[#This Row],[No of Visits]]</f>
        <v>60000</v>
      </c>
    </row>
    <row r="568" spans="2:8" x14ac:dyDescent="0.3">
      <c r="B568" t="s">
        <v>580</v>
      </c>
      <c r="C568" t="s">
        <v>1170</v>
      </c>
      <c r="D568" t="s">
        <v>12</v>
      </c>
      <c r="E568">
        <v>2</v>
      </c>
      <c r="F568" t="str">
        <f>+CHOOSE(Tbl_2020[[#This Row],[Type of Service]],"PEST","Disinfe","Rodent","Bird","Termite")</f>
        <v>Disinfe</v>
      </c>
      <c r="G568">
        <v>2</v>
      </c>
      <c r="H568" s="4">
        <f>+CHOOSE(Tbl_2020[[#This Row],[Type of Service]],2000,3000,3500,4500,5000)*Tbl_2020[[#This Row],[No of Visits]]</f>
        <v>6000</v>
      </c>
    </row>
    <row r="569" spans="2:8" x14ac:dyDescent="0.3">
      <c r="B569" t="s">
        <v>581</v>
      </c>
      <c r="C569" t="s">
        <v>1171</v>
      </c>
      <c r="D569" t="s">
        <v>14</v>
      </c>
      <c r="E569">
        <v>3</v>
      </c>
      <c r="F569" t="str">
        <f>+CHOOSE(Tbl_2020[[#This Row],[Type of Service]],"PEST","Disinfe","Rodent","Bird","Termite")</f>
        <v>Rodent</v>
      </c>
      <c r="G569">
        <v>26</v>
      </c>
      <c r="H569" s="4">
        <f>+CHOOSE(Tbl_2020[[#This Row],[Type of Service]],2000,3000,3500,4500,5000)*Tbl_2020[[#This Row],[No of Visits]]</f>
        <v>91000</v>
      </c>
    </row>
    <row r="570" spans="2:8" x14ac:dyDescent="0.3">
      <c r="B570" t="s">
        <v>582</v>
      </c>
      <c r="C570" t="s">
        <v>1172</v>
      </c>
      <c r="D570" t="s">
        <v>16</v>
      </c>
      <c r="E570">
        <v>4</v>
      </c>
      <c r="F570" t="str">
        <f>+CHOOSE(Tbl_2020[[#This Row],[Type of Service]],"PEST","Disinfe","Rodent","Bird","Termite")</f>
        <v>Bird</v>
      </c>
      <c r="G570">
        <v>22</v>
      </c>
      <c r="H570" s="4">
        <f>+CHOOSE(Tbl_2020[[#This Row],[Type of Service]],2000,3000,3500,4500,5000)*Tbl_2020[[#This Row],[No of Visits]]</f>
        <v>99000</v>
      </c>
    </row>
    <row r="571" spans="2:8" x14ac:dyDescent="0.3">
      <c r="B571" t="s">
        <v>583</v>
      </c>
      <c r="C571" t="s">
        <v>1173</v>
      </c>
      <c r="D571" t="s">
        <v>4</v>
      </c>
      <c r="E571">
        <v>4</v>
      </c>
      <c r="F571" t="str">
        <f>+CHOOSE(Tbl_2020[[#This Row],[Type of Service]],"PEST","Disinfe","Rodent","Bird","Termite")</f>
        <v>Bird</v>
      </c>
      <c r="G571">
        <v>21</v>
      </c>
      <c r="H571" s="4">
        <f>+CHOOSE(Tbl_2020[[#This Row],[Type of Service]],2000,3000,3500,4500,5000)*Tbl_2020[[#This Row],[No of Visits]]</f>
        <v>94500</v>
      </c>
    </row>
    <row r="572" spans="2:8" x14ac:dyDescent="0.3">
      <c r="B572" t="s">
        <v>584</v>
      </c>
      <c r="C572" t="s">
        <v>1174</v>
      </c>
      <c r="D572" t="s">
        <v>6</v>
      </c>
      <c r="E572">
        <v>4</v>
      </c>
      <c r="F572" t="str">
        <f>+CHOOSE(Tbl_2020[[#This Row],[Type of Service]],"PEST","Disinfe","Rodent","Bird","Termite")</f>
        <v>Bird</v>
      </c>
      <c r="G572">
        <v>12</v>
      </c>
      <c r="H572" s="4">
        <f>+CHOOSE(Tbl_2020[[#This Row],[Type of Service]],2000,3000,3500,4500,5000)*Tbl_2020[[#This Row],[No of Visits]]</f>
        <v>54000</v>
      </c>
    </row>
    <row r="573" spans="2:8" x14ac:dyDescent="0.3">
      <c r="B573" t="s">
        <v>585</v>
      </c>
      <c r="C573" t="s">
        <v>1045</v>
      </c>
      <c r="D573" t="s">
        <v>8</v>
      </c>
      <c r="E573">
        <v>1</v>
      </c>
      <c r="F573" t="str">
        <f>+CHOOSE(Tbl_2020[[#This Row],[Type of Service]],"PEST","Disinfe","Rodent","Bird","Termite")</f>
        <v>PEST</v>
      </c>
      <c r="G573">
        <v>8</v>
      </c>
      <c r="H573" s="4">
        <f>+CHOOSE(Tbl_2020[[#This Row],[Type of Service]],2000,3000,3500,4500,5000)*Tbl_2020[[#This Row],[No of Visits]]</f>
        <v>16000</v>
      </c>
    </row>
    <row r="574" spans="2:8" x14ac:dyDescent="0.3">
      <c r="B574" t="s">
        <v>586</v>
      </c>
      <c r="C574" t="s">
        <v>878</v>
      </c>
      <c r="D574" t="s">
        <v>10</v>
      </c>
      <c r="E574">
        <v>1</v>
      </c>
      <c r="F574" t="str">
        <f>+CHOOSE(Tbl_2020[[#This Row],[Type of Service]],"PEST","Disinfe","Rodent","Bird","Termite")</f>
        <v>PEST</v>
      </c>
      <c r="G574">
        <v>16</v>
      </c>
      <c r="H574" s="4">
        <f>+CHOOSE(Tbl_2020[[#This Row],[Type of Service]],2000,3000,3500,4500,5000)*Tbl_2020[[#This Row],[No of Visits]]</f>
        <v>32000</v>
      </c>
    </row>
    <row r="575" spans="2:8" x14ac:dyDescent="0.3">
      <c r="B575" t="s">
        <v>587</v>
      </c>
      <c r="C575" t="s">
        <v>1175</v>
      </c>
      <c r="D575" t="s">
        <v>12</v>
      </c>
      <c r="E575">
        <v>3</v>
      </c>
      <c r="F575" t="str">
        <f>+CHOOSE(Tbl_2020[[#This Row],[Type of Service]],"PEST","Disinfe","Rodent","Bird","Termite")</f>
        <v>Rodent</v>
      </c>
      <c r="G575">
        <v>22</v>
      </c>
      <c r="H575" s="4">
        <f>+CHOOSE(Tbl_2020[[#This Row],[Type of Service]],2000,3000,3500,4500,5000)*Tbl_2020[[#This Row],[No of Visits]]</f>
        <v>77000</v>
      </c>
    </row>
    <row r="576" spans="2:8" x14ac:dyDescent="0.3">
      <c r="B576" t="s">
        <v>588</v>
      </c>
      <c r="C576" t="s">
        <v>837</v>
      </c>
      <c r="D576" t="s">
        <v>14</v>
      </c>
      <c r="E576">
        <v>1</v>
      </c>
      <c r="F576" t="str">
        <f>+CHOOSE(Tbl_2020[[#This Row],[Type of Service]],"PEST","Disinfe","Rodent","Bird","Termite")</f>
        <v>PEST</v>
      </c>
      <c r="G576">
        <v>17</v>
      </c>
      <c r="H576" s="4">
        <f>+CHOOSE(Tbl_2020[[#This Row],[Type of Service]],2000,3000,3500,4500,5000)*Tbl_2020[[#This Row],[No of Visits]]</f>
        <v>34000</v>
      </c>
    </row>
    <row r="577" spans="2:8" x14ac:dyDescent="0.3">
      <c r="B577" t="s">
        <v>589</v>
      </c>
      <c r="C577" t="s">
        <v>951</v>
      </c>
      <c r="D577" t="s">
        <v>16</v>
      </c>
      <c r="E577">
        <v>2</v>
      </c>
      <c r="F577" t="str">
        <f>+CHOOSE(Tbl_2020[[#This Row],[Type of Service]],"PEST","Disinfe","Rodent","Bird","Termite")</f>
        <v>Disinfe</v>
      </c>
      <c r="G577">
        <v>25</v>
      </c>
      <c r="H577" s="4">
        <f>+CHOOSE(Tbl_2020[[#This Row],[Type of Service]],2000,3000,3500,4500,5000)*Tbl_2020[[#This Row],[No of Visits]]</f>
        <v>75000</v>
      </c>
    </row>
    <row r="578" spans="2:8" x14ac:dyDescent="0.3">
      <c r="B578" t="s">
        <v>590</v>
      </c>
      <c r="C578" t="s">
        <v>1176</v>
      </c>
      <c r="D578" t="s">
        <v>4</v>
      </c>
      <c r="E578">
        <v>4</v>
      </c>
      <c r="F578" t="str">
        <f>+CHOOSE(Tbl_2020[[#This Row],[Type of Service]],"PEST","Disinfe","Rodent","Bird","Termite")</f>
        <v>Bird</v>
      </c>
      <c r="G578">
        <v>16</v>
      </c>
      <c r="H578" s="4">
        <f>+CHOOSE(Tbl_2020[[#This Row],[Type of Service]],2000,3000,3500,4500,5000)*Tbl_2020[[#This Row],[No of Visits]]</f>
        <v>72000</v>
      </c>
    </row>
    <row r="579" spans="2:8" x14ac:dyDescent="0.3">
      <c r="B579" t="s">
        <v>591</v>
      </c>
      <c r="C579" t="s">
        <v>1177</v>
      </c>
      <c r="D579" t="s">
        <v>6</v>
      </c>
      <c r="E579">
        <v>4</v>
      </c>
      <c r="F579" t="str">
        <f>+CHOOSE(Tbl_2020[[#This Row],[Type of Service]],"PEST","Disinfe","Rodent","Bird","Termite")</f>
        <v>Bird</v>
      </c>
      <c r="G579">
        <v>16</v>
      </c>
      <c r="H579" s="4">
        <f>+CHOOSE(Tbl_2020[[#This Row],[Type of Service]],2000,3000,3500,4500,5000)*Tbl_2020[[#This Row],[No of Visits]]</f>
        <v>72000</v>
      </c>
    </row>
    <row r="580" spans="2:8" x14ac:dyDescent="0.3">
      <c r="B580" t="s">
        <v>592</v>
      </c>
      <c r="C580" t="s">
        <v>1178</v>
      </c>
      <c r="D580" t="s">
        <v>8</v>
      </c>
      <c r="E580">
        <v>3</v>
      </c>
      <c r="F580" t="str">
        <f>+CHOOSE(Tbl_2020[[#This Row],[Type of Service]],"PEST","Disinfe","Rodent","Bird","Termite")</f>
        <v>Rodent</v>
      </c>
      <c r="G580">
        <v>24</v>
      </c>
      <c r="H580" s="4">
        <f>+CHOOSE(Tbl_2020[[#This Row],[Type of Service]],2000,3000,3500,4500,5000)*Tbl_2020[[#This Row],[No of Visits]]</f>
        <v>84000</v>
      </c>
    </row>
    <row r="581" spans="2:8" x14ac:dyDescent="0.3">
      <c r="B581" t="s">
        <v>593</v>
      </c>
      <c r="C581" t="s">
        <v>1179</v>
      </c>
      <c r="D581" t="s">
        <v>10</v>
      </c>
      <c r="E581">
        <v>2</v>
      </c>
      <c r="F581" t="str">
        <f>+CHOOSE(Tbl_2020[[#This Row],[Type of Service]],"PEST","Disinfe","Rodent","Bird","Termite")</f>
        <v>Disinfe</v>
      </c>
      <c r="G581">
        <v>26</v>
      </c>
      <c r="H581" s="4">
        <f>+CHOOSE(Tbl_2020[[#This Row],[Type of Service]],2000,3000,3500,4500,5000)*Tbl_2020[[#This Row],[No of Visits]]</f>
        <v>78000</v>
      </c>
    </row>
    <row r="582" spans="2:8" x14ac:dyDescent="0.3">
      <c r="B582" t="s">
        <v>594</v>
      </c>
      <c r="C582" t="s">
        <v>1081</v>
      </c>
      <c r="D582" t="s">
        <v>12</v>
      </c>
      <c r="E582">
        <v>1</v>
      </c>
      <c r="F582" t="str">
        <f>+CHOOSE(Tbl_2020[[#This Row],[Type of Service]],"PEST","Disinfe","Rodent","Bird","Termite")</f>
        <v>PEST</v>
      </c>
      <c r="G582">
        <v>27</v>
      </c>
      <c r="H582" s="4">
        <f>+CHOOSE(Tbl_2020[[#This Row],[Type of Service]],2000,3000,3500,4500,5000)*Tbl_2020[[#This Row],[No of Visits]]</f>
        <v>54000</v>
      </c>
    </row>
    <row r="583" spans="2:8" x14ac:dyDescent="0.3">
      <c r="B583" t="s">
        <v>595</v>
      </c>
      <c r="C583" t="s">
        <v>766</v>
      </c>
      <c r="D583" t="s">
        <v>14</v>
      </c>
      <c r="E583">
        <v>2</v>
      </c>
      <c r="F583" t="str">
        <f>+CHOOSE(Tbl_2020[[#This Row],[Type of Service]],"PEST","Disinfe","Rodent","Bird","Termite")</f>
        <v>Disinfe</v>
      </c>
      <c r="G583">
        <v>5</v>
      </c>
      <c r="H583" s="4">
        <f>+CHOOSE(Tbl_2020[[#This Row],[Type of Service]],2000,3000,3500,4500,5000)*Tbl_2020[[#This Row],[No of Visits]]</f>
        <v>15000</v>
      </c>
    </row>
    <row r="584" spans="2:8" x14ac:dyDescent="0.3">
      <c r="B584" t="s">
        <v>596</v>
      </c>
      <c r="C584" t="s">
        <v>1180</v>
      </c>
      <c r="D584" t="s">
        <v>16</v>
      </c>
      <c r="E584">
        <v>2</v>
      </c>
      <c r="F584" t="str">
        <f>+CHOOSE(Tbl_2020[[#This Row],[Type of Service]],"PEST","Disinfe","Rodent","Bird","Termite")</f>
        <v>Disinfe</v>
      </c>
      <c r="G584">
        <v>20</v>
      </c>
      <c r="H584" s="4">
        <f>+CHOOSE(Tbl_2020[[#This Row],[Type of Service]],2000,3000,3500,4500,5000)*Tbl_2020[[#This Row],[No of Visits]]</f>
        <v>60000</v>
      </c>
    </row>
    <row r="585" spans="2:8" x14ac:dyDescent="0.3">
      <c r="B585" t="s">
        <v>597</v>
      </c>
      <c r="C585" t="s">
        <v>1181</v>
      </c>
      <c r="D585" t="s">
        <v>4</v>
      </c>
      <c r="E585">
        <v>3</v>
      </c>
      <c r="F585" t="str">
        <f>+CHOOSE(Tbl_2020[[#This Row],[Type of Service]],"PEST","Disinfe","Rodent","Bird","Termite")</f>
        <v>Rodent</v>
      </c>
      <c r="G585">
        <v>11</v>
      </c>
      <c r="H585" s="4">
        <f>+CHOOSE(Tbl_2020[[#This Row],[Type of Service]],2000,3000,3500,4500,5000)*Tbl_2020[[#This Row],[No of Visits]]</f>
        <v>38500</v>
      </c>
    </row>
    <row r="586" spans="2:8" x14ac:dyDescent="0.3">
      <c r="B586" t="s">
        <v>598</v>
      </c>
      <c r="C586" t="s">
        <v>1182</v>
      </c>
      <c r="D586" t="s">
        <v>6</v>
      </c>
      <c r="E586">
        <v>2</v>
      </c>
      <c r="F586" t="str">
        <f>+CHOOSE(Tbl_2020[[#This Row],[Type of Service]],"PEST","Disinfe","Rodent","Bird","Termite")</f>
        <v>Disinfe</v>
      </c>
      <c r="G586">
        <v>17</v>
      </c>
      <c r="H586" s="4">
        <f>+CHOOSE(Tbl_2020[[#This Row],[Type of Service]],2000,3000,3500,4500,5000)*Tbl_2020[[#This Row],[No of Visits]]</f>
        <v>51000</v>
      </c>
    </row>
    <row r="587" spans="2:8" x14ac:dyDescent="0.3">
      <c r="B587" t="s">
        <v>599</v>
      </c>
      <c r="C587" t="s">
        <v>1183</v>
      </c>
      <c r="D587" t="s">
        <v>8</v>
      </c>
      <c r="E587">
        <v>4</v>
      </c>
      <c r="F587" t="str">
        <f>+CHOOSE(Tbl_2020[[#This Row],[Type of Service]],"PEST","Disinfe","Rodent","Bird","Termite")</f>
        <v>Bird</v>
      </c>
      <c r="G587">
        <v>20</v>
      </c>
      <c r="H587" s="4">
        <f>+CHOOSE(Tbl_2020[[#This Row],[Type of Service]],2000,3000,3500,4500,5000)*Tbl_2020[[#This Row],[No of Visits]]</f>
        <v>90000</v>
      </c>
    </row>
    <row r="588" spans="2:8" x14ac:dyDescent="0.3">
      <c r="B588" t="s">
        <v>600</v>
      </c>
      <c r="C588" t="s">
        <v>1184</v>
      </c>
      <c r="D588" t="s">
        <v>10</v>
      </c>
      <c r="E588">
        <v>4</v>
      </c>
      <c r="F588" t="str">
        <f>+CHOOSE(Tbl_2020[[#This Row],[Type of Service]],"PEST","Disinfe","Rodent","Bird","Termite")</f>
        <v>Bird</v>
      </c>
      <c r="G588">
        <v>2</v>
      </c>
      <c r="H588" s="4">
        <f>+CHOOSE(Tbl_2020[[#This Row],[Type of Service]],2000,3000,3500,4500,5000)*Tbl_2020[[#This Row],[No of Visits]]</f>
        <v>9000</v>
      </c>
    </row>
    <row r="589" spans="2:8" x14ac:dyDescent="0.3">
      <c r="B589" t="s">
        <v>601</v>
      </c>
      <c r="C589" t="s">
        <v>1185</v>
      </c>
      <c r="D589" t="s">
        <v>12</v>
      </c>
      <c r="E589">
        <v>4</v>
      </c>
      <c r="F589" t="str">
        <f>+CHOOSE(Tbl_2020[[#This Row],[Type of Service]],"PEST","Disinfe","Rodent","Bird","Termite")</f>
        <v>Bird</v>
      </c>
      <c r="G589">
        <v>17</v>
      </c>
      <c r="H589" s="4">
        <f>+CHOOSE(Tbl_2020[[#This Row],[Type of Service]],2000,3000,3500,4500,5000)*Tbl_2020[[#This Row],[No of Visits]]</f>
        <v>76500</v>
      </c>
    </row>
    <row r="590" spans="2:8" x14ac:dyDescent="0.3">
      <c r="B590" t="s">
        <v>602</v>
      </c>
      <c r="C590" t="s">
        <v>854</v>
      </c>
      <c r="D590" t="s">
        <v>14</v>
      </c>
      <c r="E590">
        <v>1</v>
      </c>
      <c r="F590" t="str">
        <f>+CHOOSE(Tbl_2020[[#This Row],[Type of Service]],"PEST","Disinfe","Rodent","Bird","Termite")</f>
        <v>PEST</v>
      </c>
      <c r="G590">
        <v>24</v>
      </c>
      <c r="H590" s="4">
        <f>+CHOOSE(Tbl_2020[[#This Row],[Type of Service]],2000,3000,3500,4500,5000)*Tbl_2020[[#This Row],[No of Visits]]</f>
        <v>48000</v>
      </c>
    </row>
    <row r="591" spans="2:8" x14ac:dyDescent="0.3">
      <c r="B591" t="s">
        <v>603</v>
      </c>
      <c r="C591" t="s">
        <v>1186</v>
      </c>
      <c r="D591" t="s">
        <v>16</v>
      </c>
      <c r="E591">
        <v>1</v>
      </c>
      <c r="F591" t="str">
        <f>+CHOOSE(Tbl_2020[[#This Row],[Type of Service]],"PEST","Disinfe","Rodent","Bird","Termite")</f>
        <v>PEST</v>
      </c>
      <c r="G591">
        <v>24</v>
      </c>
      <c r="H591" s="4">
        <f>+CHOOSE(Tbl_2020[[#This Row],[Type of Service]],2000,3000,3500,4500,5000)*Tbl_2020[[#This Row],[No of Visits]]</f>
        <v>48000</v>
      </c>
    </row>
    <row r="592" spans="2:8" x14ac:dyDescent="0.3">
      <c r="B592" t="s">
        <v>604</v>
      </c>
      <c r="C592" t="s">
        <v>815</v>
      </c>
      <c r="D592" t="s">
        <v>4</v>
      </c>
      <c r="E592">
        <v>1</v>
      </c>
      <c r="F592" t="str">
        <f>+CHOOSE(Tbl_2020[[#This Row],[Type of Service]],"PEST","Disinfe","Rodent","Bird","Termite")</f>
        <v>PEST</v>
      </c>
      <c r="G592">
        <v>26</v>
      </c>
      <c r="H592" s="4">
        <f>+CHOOSE(Tbl_2020[[#This Row],[Type of Service]],2000,3000,3500,4500,5000)*Tbl_2020[[#This Row],[No of Visits]]</f>
        <v>52000</v>
      </c>
    </row>
    <row r="593" spans="2:8" x14ac:dyDescent="0.3">
      <c r="B593" t="s">
        <v>605</v>
      </c>
      <c r="C593" t="s">
        <v>1187</v>
      </c>
      <c r="D593" t="s">
        <v>6</v>
      </c>
      <c r="E593">
        <v>4</v>
      </c>
      <c r="F593" t="str">
        <f>+CHOOSE(Tbl_2020[[#This Row],[Type of Service]],"PEST","Disinfe","Rodent","Bird","Termite")</f>
        <v>Bird</v>
      </c>
      <c r="G593">
        <v>20</v>
      </c>
      <c r="H593" s="4">
        <f>+CHOOSE(Tbl_2020[[#This Row],[Type of Service]],2000,3000,3500,4500,5000)*Tbl_2020[[#This Row],[No of Visits]]</f>
        <v>90000</v>
      </c>
    </row>
    <row r="594" spans="2:8" x14ac:dyDescent="0.3">
      <c r="B594" t="s">
        <v>606</v>
      </c>
      <c r="C594" t="s">
        <v>951</v>
      </c>
      <c r="D594" t="s">
        <v>8</v>
      </c>
      <c r="E594">
        <v>1</v>
      </c>
      <c r="F594" t="str">
        <f>+CHOOSE(Tbl_2020[[#This Row],[Type of Service]],"PEST","Disinfe","Rodent","Bird","Termite")</f>
        <v>PEST</v>
      </c>
      <c r="G594">
        <v>6</v>
      </c>
      <c r="H594" s="4">
        <f>+CHOOSE(Tbl_2020[[#This Row],[Type of Service]],2000,3000,3500,4500,5000)*Tbl_2020[[#This Row],[No of Visits]]</f>
        <v>12000</v>
      </c>
    </row>
    <row r="595" spans="2:8" x14ac:dyDescent="0.3">
      <c r="B595" t="s">
        <v>607</v>
      </c>
      <c r="C595" t="s">
        <v>1188</v>
      </c>
      <c r="D595" t="s">
        <v>10</v>
      </c>
      <c r="E595">
        <v>1</v>
      </c>
      <c r="F595" t="str">
        <f>+CHOOSE(Tbl_2020[[#This Row],[Type of Service]],"PEST","Disinfe","Rodent","Bird","Termite")</f>
        <v>PEST</v>
      </c>
      <c r="G595">
        <v>26</v>
      </c>
      <c r="H595" s="4">
        <f>+CHOOSE(Tbl_2020[[#This Row],[Type of Service]],2000,3000,3500,4500,5000)*Tbl_2020[[#This Row],[No of Visits]]</f>
        <v>52000</v>
      </c>
    </row>
    <row r="596" spans="2:8" x14ac:dyDescent="0.3">
      <c r="B596" t="s">
        <v>608</v>
      </c>
      <c r="C596" t="s">
        <v>1189</v>
      </c>
      <c r="D596" t="s">
        <v>12</v>
      </c>
      <c r="E596">
        <v>4</v>
      </c>
      <c r="F596" t="str">
        <f>+CHOOSE(Tbl_2020[[#This Row],[Type of Service]],"PEST","Disinfe","Rodent","Bird","Termite")</f>
        <v>Bird</v>
      </c>
      <c r="G596">
        <v>25</v>
      </c>
      <c r="H596" s="4">
        <f>+CHOOSE(Tbl_2020[[#This Row],[Type of Service]],2000,3000,3500,4500,5000)*Tbl_2020[[#This Row],[No of Visits]]</f>
        <v>112500</v>
      </c>
    </row>
    <row r="597" spans="2:8" x14ac:dyDescent="0.3">
      <c r="B597" t="s">
        <v>609</v>
      </c>
      <c r="C597" t="s">
        <v>1190</v>
      </c>
      <c r="D597" t="s">
        <v>14</v>
      </c>
      <c r="E597">
        <v>1</v>
      </c>
      <c r="F597" t="str">
        <f>+CHOOSE(Tbl_2020[[#This Row],[Type of Service]],"PEST","Disinfe","Rodent","Bird","Termite")</f>
        <v>PEST</v>
      </c>
      <c r="G597">
        <v>21</v>
      </c>
      <c r="H597" s="4">
        <f>+CHOOSE(Tbl_2020[[#This Row],[Type of Service]],2000,3000,3500,4500,5000)*Tbl_2020[[#This Row],[No of Visits]]</f>
        <v>42000</v>
      </c>
    </row>
    <row r="598" spans="2:8" x14ac:dyDescent="0.3">
      <c r="B598" t="s">
        <v>610</v>
      </c>
      <c r="C598" t="s">
        <v>1191</v>
      </c>
      <c r="D598" t="s">
        <v>16</v>
      </c>
      <c r="E598">
        <v>2</v>
      </c>
      <c r="F598" t="str">
        <f>+CHOOSE(Tbl_2020[[#This Row],[Type of Service]],"PEST","Disinfe","Rodent","Bird","Termite")</f>
        <v>Disinfe</v>
      </c>
      <c r="G598">
        <v>26</v>
      </c>
      <c r="H598" s="4">
        <f>+CHOOSE(Tbl_2020[[#This Row],[Type of Service]],2000,3000,3500,4500,5000)*Tbl_2020[[#This Row],[No of Visits]]</f>
        <v>78000</v>
      </c>
    </row>
    <row r="599" spans="2:8" x14ac:dyDescent="0.3">
      <c r="B599" t="s">
        <v>611</v>
      </c>
      <c r="C599" t="s">
        <v>1192</v>
      </c>
      <c r="D599" t="s">
        <v>4</v>
      </c>
      <c r="E599">
        <v>2</v>
      </c>
      <c r="F599" t="str">
        <f>+CHOOSE(Tbl_2020[[#This Row],[Type of Service]],"PEST","Disinfe","Rodent","Bird","Termite")</f>
        <v>Disinfe</v>
      </c>
      <c r="G599">
        <v>26</v>
      </c>
      <c r="H599" s="4">
        <f>+CHOOSE(Tbl_2020[[#This Row],[Type of Service]],2000,3000,3500,4500,5000)*Tbl_2020[[#This Row],[No of Visits]]</f>
        <v>78000</v>
      </c>
    </row>
    <row r="600" spans="2:8" x14ac:dyDescent="0.3">
      <c r="B600" t="s">
        <v>612</v>
      </c>
      <c r="C600" t="s">
        <v>1193</v>
      </c>
      <c r="D600" t="s">
        <v>6</v>
      </c>
      <c r="E600">
        <v>2</v>
      </c>
      <c r="F600" t="str">
        <f>+CHOOSE(Tbl_2020[[#This Row],[Type of Service]],"PEST","Disinfe","Rodent","Bird","Termite")</f>
        <v>Disinfe</v>
      </c>
      <c r="G600">
        <v>25</v>
      </c>
      <c r="H600" s="4">
        <f>+CHOOSE(Tbl_2020[[#This Row],[Type of Service]],2000,3000,3500,4500,5000)*Tbl_2020[[#This Row],[No of Visits]]</f>
        <v>75000</v>
      </c>
    </row>
    <row r="601" spans="2:8" x14ac:dyDescent="0.3">
      <c r="B601" t="s">
        <v>613</v>
      </c>
      <c r="C601" t="s">
        <v>1194</v>
      </c>
      <c r="D601" t="s">
        <v>8</v>
      </c>
      <c r="E601">
        <v>3</v>
      </c>
      <c r="F601" t="str">
        <f>+CHOOSE(Tbl_2020[[#This Row],[Type of Service]],"PEST","Disinfe","Rodent","Bird","Termite")</f>
        <v>Rodent</v>
      </c>
      <c r="G601">
        <v>14</v>
      </c>
      <c r="H601" s="4">
        <f>+CHOOSE(Tbl_2020[[#This Row],[Type of Service]],2000,3000,3500,4500,5000)*Tbl_2020[[#This Row],[No of Visits]]</f>
        <v>49000</v>
      </c>
    </row>
    <row r="602" spans="2:8" x14ac:dyDescent="0.3">
      <c r="B602" t="s">
        <v>614</v>
      </c>
      <c r="C602" t="s">
        <v>1195</v>
      </c>
      <c r="D602" t="s">
        <v>10</v>
      </c>
      <c r="E602">
        <v>1</v>
      </c>
      <c r="F602" t="str">
        <f>+CHOOSE(Tbl_2020[[#This Row],[Type of Service]],"PEST","Disinfe","Rodent","Bird","Termite")</f>
        <v>PEST</v>
      </c>
      <c r="G602">
        <v>27</v>
      </c>
      <c r="H602" s="4">
        <f>+CHOOSE(Tbl_2020[[#This Row],[Type of Service]],2000,3000,3500,4500,5000)*Tbl_2020[[#This Row],[No of Visits]]</f>
        <v>54000</v>
      </c>
    </row>
    <row r="603" spans="2:8" x14ac:dyDescent="0.3">
      <c r="B603" t="s">
        <v>615</v>
      </c>
      <c r="C603" t="s">
        <v>1196</v>
      </c>
      <c r="D603" t="s">
        <v>12</v>
      </c>
      <c r="E603">
        <v>3</v>
      </c>
      <c r="F603" t="str">
        <f>+CHOOSE(Tbl_2020[[#This Row],[Type of Service]],"PEST","Disinfe","Rodent","Bird","Termite")</f>
        <v>Rodent</v>
      </c>
      <c r="G603">
        <v>26</v>
      </c>
      <c r="H603" s="4">
        <f>+CHOOSE(Tbl_2020[[#This Row],[Type of Service]],2000,3000,3500,4500,5000)*Tbl_2020[[#This Row],[No of Visits]]</f>
        <v>91000</v>
      </c>
    </row>
    <row r="604" spans="2:8" x14ac:dyDescent="0.3">
      <c r="B604" t="s">
        <v>616</v>
      </c>
      <c r="C604" t="s">
        <v>1197</v>
      </c>
      <c r="D604" t="s">
        <v>14</v>
      </c>
      <c r="E604">
        <v>3</v>
      </c>
      <c r="F604" t="str">
        <f>+CHOOSE(Tbl_2020[[#This Row],[Type of Service]],"PEST","Disinfe","Rodent","Bird","Termite")</f>
        <v>Rodent</v>
      </c>
      <c r="G604">
        <v>10</v>
      </c>
      <c r="H604" s="4">
        <f>+CHOOSE(Tbl_2020[[#This Row],[Type of Service]],2000,3000,3500,4500,5000)*Tbl_2020[[#This Row],[No of Visits]]</f>
        <v>35000</v>
      </c>
    </row>
    <row r="605" spans="2:8" x14ac:dyDescent="0.3">
      <c r="B605" t="s">
        <v>617</v>
      </c>
      <c r="C605" t="s">
        <v>1198</v>
      </c>
      <c r="D605" t="s">
        <v>16</v>
      </c>
      <c r="E605">
        <v>4</v>
      </c>
      <c r="F605" t="str">
        <f>+CHOOSE(Tbl_2020[[#This Row],[Type of Service]],"PEST","Disinfe","Rodent","Bird","Termite")</f>
        <v>Bird</v>
      </c>
      <c r="G605">
        <v>27</v>
      </c>
      <c r="H605" s="4">
        <f>+CHOOSE(Tbl_2020[[#This Row],[Type of Service]],2000,3000,3500,4500,5000)*Tbl_2020[[#This Row],[No of Visits]]</f>
        <v>121500</v>
      </c>
    </row>
    <row r="606" spans="2:8" x14ac:dyDescent="0.3">
      <c r="B606" t="s">
        <v>618</v>
      </c>
      <c r="C606" t="s">
        <v>1199</v>
      </c>
      <c r="D606" t="s">
        <v>4</v>
      </c>
      <c r="E606">
        <v>1</v>
      </c>
      <c r="F606" t="str">
        <f>+CHOOSE(Tbl_2020[[#This Row],[Type of Service]],"PEST","Disinfe","Rodent","Bird","Termite")</f>
        <v>PEST</v>
      </c>
      <c r="G606">
        <v>27</v>
      </c>
      <c r="H606" s="4">
        <f>+CHOOSE(Tbl_2020[[#This Row],[Type of Service]],2000,3000,3500,4500,5000)*Tbl_2020[[#This Row],[No of Visits]]</f>
        <v>54000</v>
      </c>
    </row>
    <row r="607" spans="2:8" x14ac:dyDescent="0.3">
      <c r="B607" t="s">
        <v>619</v>
      </c>
      <c r="C607" t="s">
        <v>1200</v>
      </c>
      <c r="D607" t="s">
        <v>6</v>
      </c>
      <c r="E607">
        <v>3</v>
      </c>
      <c r="F607" t="str">
        <f>+CHOOSE(Tbl_2020[[#This Row],[Type of Service]],"PEST","Disinfe","Rodent","Bird","Termite")</f>
        <v>Rodent</v>
      </c>
      <c r="G607">
        <v>21</v>
      </c>
      <c r="H607" s="4">
        <f>+CHOOSE(Tbl_2020[[#This Row],[Type of Service]],2000,3000,3500,4500,5000)*Tbl_2020[[#This Row],[No of Visits]]</f>
        <v>73500</v>
      </c>
    </row>
    <row r="608" spans="2:8" x14ac:dyDescent="0.3">
      <c r="B608" t="s">
        <v>620</v>
      </c>
      <c r="C608" t="s">
        <v>1039</v>
      </c>
      <c r="D608" t="s">
        <v>8</v>
      </c>
      <c r="E608">
        <v>3</v>
      </c>
      <c r="F608" t="str">
        <f>+CHOOSE(Tbl_2020[[#This Row],[Type of Service]],"PEST","Disinfe","Rodent","Bird","Termite")</f>
        <v>Rodent</v>
      </c>
      <c r="G608">
        <v>12</v>
      </c>
      <c r="H608" s="4">
        <f>+CHOOSE(Tbl_2020[[#This Row],[Type of Service]],2000,3000,3500,4500,5000)*Tbl_2020[[#This Row],[No of Visits]]</f>
        <v>42000</v>
      </c>
    </row>
    <row r="609" spans="2:8" x14ac:dyDescent="0.3">
      <c r="B609" t="s">
        <v>621</v>
      </c>
      <c r="C609" t="s">
        <v>1201</v>
      </c>
      <c r="D609" t="s">
        <v>10</v>
      </c>
      <c r="E609">
        <v>3</v>
      </c>
      <c r="F609" t="str">
        <f>+CHOOSE(Tbl_2020[[#This Row],[Type of Service]],"PEST","Disinfe","Rodent","Bird","Termite")</f>
        <v>Rodent</v>
      </c>
      <c r="G609">
        <v>20</v>
      </c>
      <c r="H609" s="4">
        <f>+CHOOSE(Tbl_2020[[#This Row],[Type of Service]],2000,3000,3500,4500,5000)*Tbl_2020[[#This Row],[No of Visits]]</f>
        <v>70000</v>
      </c>
    </row>
    <row r="610" spans="2:8" x14ac:dyDescent="0.3">
      <c r="B610" t="s">
        <v>622</v>
      </c>
      <c r="C610" t="s">
        <v>1202</v>
      </c>
      <c r="D610" t="s">
        <v>12</v>
      </c>
      <c r="E610">
        <v>4</v>
      </c>
      <c r="F610" t="str">
        <f>+CHOOSE(Tbl_2020[[#This Row],[Type of Service]],"PEST","Disinfe","Rodent","Bird","Termite")</f>
        <v>Bird</v>
      </c>
      <c r="G610">
        <v>26</v>
      </c>
      <c r="H610" s="4">
        <f>+CHOOSE(Tbl_2020[[#This Row],[Type of Service]],2000,3000,3500,4500,5000)*Tbl_2020[[#This Row],[No of Visits]]</f>
        <v>117000</v>
      </c>
    </row>
    <row r="611" spans="2:8" x14ac:dyDescent="0.3">
      <c r="B611" t="s">
        <v>623</v>
      </c>
      <c r="C611" t="s">
        <v>1203</v>
      </c>
      <c r="D611" t="s">
        <v>14</v>
      </c>
      <c r="E611">
        <v>1</v>
      </c>
      <c r="F611" t="str">
        <f>+CHOOSE(Tbl_2020[[#This Row],[Type of Service]],"PEST","Disinfe","Rodent","Bird","Termite")</f>
        <v>PEST</v>
      </c>
      <c r="G611">
        <v>25</v>
      </c>
      <c r="H611" s="4">
        <f>+CHOOSE(Tbl_2020[[#This Row],[Type of Service]],2000,3000,3500,4500,5000)*Tbl_2020[[#This Row],[No of Visits]]</f>
        <v>50000</v>
      </c>
    </row>
    <row r="612" spans="2:8" x14ac:dyDescent="0.3">
      <c r="B612" t="s">
        <v>624</v>
      </c>
      <c r="C612" t="s">
        <v>1204</v>
      </c>
      <c r="D612" t="s">
        <v>16</v>
      </c>
      <c r="E612">
        <v>1</v>
      </c>
      <c r="F612" t="str">
        <f>+CHOOSE(Tbl_2020[[#This Row],[Type of Service]],"PEST","Disinfe","Rodent","Bird","Termite")</f>
        <v>PEST</v>
      </c>
      <c r="G612">
        <v>27</v>
      </c>
      <c r="H612" s="4">
        <f>+CHOOSE(Tbl_2020[[#This Row],[Type of Service]],2000,3000,3500,4500,5000)*Tbl_2020[[#This Row],[No of Visits]]</f>
        <v>54000</v>
      </c>
    </row>
    <row r="613" spans="2:8" x14ac:dyDescent="0.3">
      <c r="B613" t="s">
        <v>625</v>
      </c>
      <c r="C613" t="s">
        <v>1205</v>
      </c>
      <c r="D613" t="s">
        <v>4</v>
      </c>
      <c r="E613">
        <v>1</v>
      </c>
      <c r="F613" t="str">
        <f>+CHOOSE(Tbl_2020[[#This Row],[Type of Service]],"PEST","Disinfe","Rodent","Bird","Termite")</f>
        <v>PEST</v>
      </c>
      <c r="G613">
        <v>22</v>
      </c>
      <c r="H613" s="4">
        <f>+CHOOSE(Tbl_2020[[#This Row],[Type of Service]],2000,3000,3500,4500,5000)*Tbl_2020[[#This Row],[No of Visits]]</f>
        <v>44000</v>
      </c>
    </row>
    <row r="614" spans="2:8" x14ac:dyDescent="0.3">
      <c r="B614" t="s">
        <v>626</v>
      </c>
      <c r="C614" t="s">
        <v>1206</v>
      </c>
      <c r="D614" t="s">
        <v>6</v>
      </c>
      <c r="E614">
        <v>1</v>
      </c>
      <c r="F614" t="str">
        <f>+CHOOSE(Tbl_2020[[#This Row],[Type of Service]],"PEST","Disinfe","Rodent","Bird","Termite")</f>
        <v>PEST</v>
      </c>
      <c r="G614">
        <v>22</v>
      </c>
      <c r="H614" s="4">
        <f>+CHOOSE(Tbl_2020[[#This Row],[Type of Service]],2000,3000,3500,4500,5000)*Tbl_2020[[#This Row],[No of Visits]]</f>
        <v>44000</v>
      </c>
    </row>
    <row r="615" spans="2:8" x14ac:dyDescent="0.3">
      <c r="B615" t="s">
        <v>627</v>
      </c>
      <c r="C615" t="s">
        <v>1207</v>
      </c>
      <c r="D615" t="s">
        <v>8</v>
      </c>
      <c r="E615">
        <v>3</v>
      </c>
      <c r="F615" t="str">
        <f>+CHOOSE(Tbl_2020[[#This Row],[Type of Service]],"PEST","Disinfe","Rodent","Bird","Termite")</f>
        <v>Rodent</v>
      </c>
      <c r="G615">
        <v>22</v>
      </c>
      <c r="H615" s="4">
        <f>+CHOOSE(Tbl_2020[[#This Row],[Type of Service]],2000,3000,3500,4500,5000)*Tbl_2020[[#This Row],[No of Visits]]</f>
        <v>77000</v>
      </c>
    </row>
    <row r="616" spans="2:8" x14ac:dyDescent="0.3">
      <c r="B616" t="s">
        <v>628</v>
      </c>
      <c r="C616" t="s">
        <v>1208</v>
      </c>
      <c r="D616" t="s">
        <v>10</v>
      </c>
      <c r="E616">
        <v>2</v>
      </c>
      <c r="F616" t="str">
        <f>+CHOOSE(Tbl_2020[[#This Row],[Type of Service]],"PEST","Disinfe","Rodent","Bird","Termite")</f>
        <v>Disinfe</v>
      </c>
      <c r="G616">
        <v>26</v>
      </c>
      <c r="H616" s="4">
        <f>+CHOOSE(Tbl_2020[[#This Row],[Type of Service]],2000,3000,3500,4500,5000)*Tbl_2020[[#This Row],[No of Visits]]</f>
        <v>78000</v>
      </c>
    </row>
    <row r="617" spans="2:8" x14ac:dyDescent="0.3">
      <c r="B617" t="s">
        <v>629</v>
      </c>
      <c r="C617" t="s">
        <v>1209</v>
      </c>
      <c r="D617" t="s">
        <v>12</v>
      </c>
      <c r="E617">
        <v>2</v>
      </c>
      <c r="F617" t="str">
        <f>+CHOOSE(Tbl_2020[[#This Row],[Type of Service]],"PEST","Disinfe","Rodent","Bird","Termite")</f>
        <v>Disinfe</v>
      </c>
      <c r="G617">
        <v>10</v>
      </c>
      <c r="H617" s="4">
        <f>+CHOOSE(Tbl_2020[[#This Row],[Type of Service]],2000,3000,3500,4500,5000)*Tbl_2020[[#This Row],[No of Visits]]</f>
        <v>30000</v>
      </c>
    </row>
    <row r="618" spans="2:8" x14ac:dyDescent="0.3">
      <c r="B618" t="s">
        <v>630</v>
      </c>
      <c r="C618" t="s">
        <v>1210</v>
      </c>
      <c r="D618" t="s">
        <v>14</v>
      </c>
      <c r="E618">
        <v>1</v>
      </c>
      <c r="F618" t="str">
        <f>+CHOOSE(Tbl_2020[[#This Row],[Type of Service]],"PEST","Disinfe","Rodent","Bird","Termite")</f>
        <v>PEST</v>
      </c>
      <c r="G618">
        <v>15</v>
      </c>
      <c r="H618" s="4">
        <f>+CHOOSE(Tbl_2020[[#This Row],[Type of Service]],2000,3000,3500,4500,5000)*Tbl_2020[[#This Row],[No of Visits]]</f>
        <v>30000</v>
      </c>
    </row>
    <row r="619" spans="2:8" x14ac:dyDescent="0.3">
      <c r="B619" t="s">
        <v>631</v>
      </c>
      <c r="C619" t="s">
        <v>1211</v>
      </c>
      <c r="D619" t="s">
        <v>16</v>
      </c>
      <c r="E619">
        <v>1</v>
      </c>
      <c r="F619" t="str">
        <f>+CHOOSE(Tbl_2020[[#This Row],[Type of Service]],"PEST","Disinfe","Rodent","Bird","Termite")</f>
        <v>PEST</v>
      </c>
      <c r="G619">
        <v>26</v>
      </c>
      <c r="H619" s="4">
        <f>+CHOOSE(Tbl_2020[[#This Row],[Type of Service]],2000,3000,3500,4500,5000)*Tbl_2020[[#This Row],[No of Visits]]</f>
        <v>52000</v>
      </c>
    </row>
    <row r="620" spans="2:8" x14ac:dyDescent="0.3">
      <c r="B620" t="s">
        <v>632</v>
      </c>
      <c r="C620" t="s">
        <v>766</v>
      </c>
      <c r="D620" t="s">
        <v>4</v>
      </c>
      <c r="E620">
        <v>4</v>
      </c>
      <c r="F620" t="str">
        <f>+CHOOSE(Tbl_2020[[#This Row],[Type of Service]],"PEST","Disinfe","Rodent","Bird","Termite")</f>
        <v>Bird</v>
      </c>
      <c r="G620">
        <v>5</v>
      </c>
      <c r="H620" s="4">
        <f>+CHOOSE(Tbl_2020[[#This Row],[Type of Service]],2000,3000,3500,4500,5000)*Tbl_2020[[#This Row],[No of Visits]]</f>
        <v>22500</v>
      </c>
    </row>
    <row r="621" spans="2:8" x14ac:dyDescent="0.3">
      <c r="B621" t="s">
        <v>633</v>
      </c>
      <c r="C621" t="s">
        <v>1212</v>
      </c>
      <c r="D621" t="s">
        <v>6</v>
      </c>
      <c r="E621">
        <v>2</v>
      </c>
      <c r="F621" t="str">
        <f>+CHOOSE(Tbl_2020[[#This Row],[Type of Service]],"PEST","Disinfe","Rodent","Bird","Termite")</f>
        <v>Disinfe</v>
      </c>
      <c r="G621">
        <v>11</v>
      </c>
      <c r="H621" s="4">
        <f>+CHOOSE(Tbl_2020[[#This Row],[Type of Service]],2000,3000,3500,4500,5000)*Tbl_2020[[#This Row],[No of Visits]]</f>
        <v>33000</v>
      </c>
    </row>
    <row r="622" spans="2:8" x14ac:dyDescent="0.3">
      <c r="B622" t="s">
        <v>634</v>
      </c>
      <c r="C622" t="s">
        <v>1213</v>
      </c>
      <c r="D622" t="s">
        <v>8</v>
      </c>
      <c r="E622">
        <v>4</v>
      </c>
      <c r="F622" t="str">
        <f>+CHOOSE(Tbl_2020[[#This Row],[Type of Service]],"PEST","Disinfe","Rodent","Bird","Termite")</f>
        <v>Bird</v>
      </c>
      <c r="G622">
        <v>21</v>
      </c>
      <c r="H622" s="4">
        <f>+CHOOSE(Tbl_2020[[#This Row],[Type of Service]],2000,3000,3500,4500,5000)*Tbl_2020[[#This Row],[No of Visits]]</f>
        <v>94500</v>
      </c>
    </row>
    <row r="623" spans="2:8" x14ac:dyDescent="0.3">
      <c r="B623" t="s">
        <v>635</v>
      </c>
      <c r="C623" t="s">
        <v>1214</v>
      </c>
      <c r="D623" t="s">
        <v>10</v>
      </c>
      <c r="E623">
        <v>4</v>
      </c>
      <c r="F623" t="str">
        <f>+CHOOSE(Tbl_2020[[#This Row],[Type of Service]],"PEST","Disinfe","Rodent","Bird","Termite")</f>
        <v>Bird</v>
      </c>
      <c r="G623">
        <v>15</v>
      </c>
      <c r="H623" s="4">
        <f>+CHOOSE(Tbl_2020[[#This Row],[Type of Service]],2000,3000,3500,4500,5000)*Tbl_2020[[#This Row],[No of Visits]]</f>
        <v>67500</v>
      </c>
    </row>
    <row r="624" spans="2:8" x14ac:dyDescent="0.3">
      <c r="B624" t="s">
        <v>636</v>
      </c>
      <c r="C624" t="s">
        <v>1215</v>
      </c>
      <c r="D624" t="s">
        <v>12</v>
      </c>
      <c r="E624">
        <v>4</v>
      </c>
      <c r="F624" t="str">
        <f>+CHOOSE(Tbl_2020[[#This Row],[Type of Service]],"PEST","Disinfe","Rodent","Bird","Termite")</f>
        <v>Bird</v>
      </c>
      <c r="G624">
        <v>10</v>
      </c>
      <c r="H624" s="4">
        <f>+CHOOSE(Tbl_2020[[#This Row],[Type of Service]],2000,3000,3500,4500,5000)*Tbl_2020[[#This Row],[No of Visits]]</f>
        <v>45000</v>
      </c>
    </row>
    <row r="625" spans="2:8" x14ac:dyDescent="0.3">
      <c r="B625" t="s">
        <v>637</v>
      </c>
      <c r="C625" t="s">
        <v>1047</v>
      </c>
      <c r="D625" t="s">
        <v>14</v>
      </c>
      <c r="E625">
        <v>3</v>
      </c>
      <c r="F625" t="str">
        <f>+CHOOSE(Tbl_2020[[#This Row],[Type of Service]],"PEST","Disinfe","Rodent","Bird","Termite")</f>
        <v>Rodent</v>
      </c>
      <c r="G625">
        <v>22</v>
      </c>
      <c r="H625" s="4">
        <f>+CHOOSE(Tbl_2020[[#This Row],[Type of Service]],2000,3000,3500,4500,5000)*Tbl_2020[[#This Row],[No of Visits]]</f>
        <v>77000</v>
      </c>
    </row>
    <row r="626" spans="2:8" x14ac:dyDescent="0.3">
      <c r="B626" t="s">
        <v>638</v>
      </c>
      <c r="C626" t="s">
        <v>1216</v>
      </c>
      <c r="D626" t="s">
        <v>16</v>
      </c>
      <c r="E626">
        <v>3</v>
      </c>
      <c r="F626" t="str">
        <f>+CHOOSE(Tbl_2020[[#This Row],[Type of Service]],"PEST","Disinfe","Rodent","Bird","Termite")</f>
        <v>Rodent</v>
      </c>
      <c r="G626">
        <v>26</v>
      </c>
      <c r="H626" s="4">
        <f>+CHOOSE(Tbl_2020[[#This Row],[Type of Service]],2000,3000,3500,4500,5000)*Tbl_2020[[#This Row],[No of Visits]]</f>
        <v>91000</v>
      </c>
    </row>
    <row r="627" spans="2:8" x14ac:dyDescent="0.3">
      <c r="B627" t="s">
        <v>639</v>
      </c>
      <c r="C627" t="s">
        <v>1217</v>
      </c>
      <c r="D627" t="s">
        <v>4</v>
      </c>
      <c r="E627">
        <v>3</v>
      </c>
      <c r="F627" t="str">
        <f>+CHOOSE(Tbl_2020[[#This Row],[Type of Service]],"PEST","Disinfe","Rodent","Bird","Termite")</f>
        <v>Rodent</v>
      </c>
      <c r="G627">
        <v>24</v>
      </c>
      <c r="H627" s="4">
        <f>+CHOOSE(Tbl_2020[[#This Row],[Type of Service]],2000,3000,3500,4500,5000)*Tbl_2020[[#This Row],[No of Visits]]</f>
        <v>84000</v>
      </c>
    </row>
    <row r="628" spans="2:8" x14ac:dyDescent="0.3">
      <c r="B628" t="s">
        <v>640</v>
      </c>
      <c r="C628" t="s">
        <v>1218</v>
      </c>
      <c r="D628" t="s">
        <v>6</v>
      </c>
      <c r="E628">
        <v>4</v>
      </c>
      <c r="F628" t="str">
        <f>+CHOOSE(Tbl_2020[[#This Row],[Type of Service]],"PEST","Disinfe","Rodent","Bird","Termite")</f>
        <v>Bird</v>
      </c>
      <c r="G628">
        <v>24</v>
      </c>
      <c r="H628" s="4">
        <f>+CHOOSE(Tbl_2020[[#This Row],[Type of Service]],2000,3000,3500,4500,5000)*Tbl_2020[[#This Row],[No of Visits]]</f>
        <v>108000</v>
      </c>
    </row>
    <row r="629" spans="2:8" x14ac:dyDescent="0.3">
      <c r="B629" t="s">
        <v>641</v>
      </c>
      <c r="C629" t="s">
        <v>1219</v>
      </c>
      <c r="D629" t="s">
        <v>8</v>
      </c>
      <c r="E629">
        <v>1</v>
      </c>
      <c r="F629" t="str">
        <f>+CHOOSE(Tbl_2020[[#This Row],[Type of Service]],"PEST","Disinfe","Rodent","Bird","Termite")</f>
        <v>PEST</v>
      </c>
      <c r="G629">
        <v>2</v>
      </c>
      <c r="H629" s="4">
        <f>+CHOOSE(Tbl_2020[[#This Row],[Type of Service]],2000,3000,3500,4500,5000)*Tbl_2020[[#This Row],[No of Visits]]</f>
        <v>4000</v>
      </c>
    </row>
    <row r="630" spans="2:8" x14ac:dyDescent="0.3">
      <c r="B630" t="s">
        <v>642</v>
      </c>
      <c r="C630" t="s">
        <v>1220</v>
      </c>
      <c r="D630" t="s">
        <v>10</v>
      </c>
      <c r="E630">
        <v>4</v>
      </c>
      <c r="F630" t="str">
        <f>+CHOOSE(Tbl_2020[[#This Row],[Type of Service]],"PEST","Disinfe","Rodent","Bird","Termite")</f>
        <v>Bird</v>
      </c>
      <c r="G630">
        <v>15</v>
      </c>
      <c r="H630" s="4">
        <f>+CHOOSE(Tbl_2020[[#This Row],[Type of Service]],2000,3000,3500,4500,5000)*Tbl_2020[[#This Row],[No of Visits]]</f>
        <v>67500</v>
      </c>
    </row>
    <row r="631" spans="2:8" x14ac:dyDescent="0.3">
      <c r="B631" t="s">
        <v>643</v>
      </c>
      <c r="C631" t="s">
        <v>1221</v>
      </c>
      <c r="D631" t="s">
        <v>12</v>
      </c>
      <c r="E631">
        <v>1</v>
      </c>
      <c r="F631" t="str">
        <f>+CHOOSE(Tbl_2020[[#This Row],[Type of Service]],"PEST","Disinfe","Rodent","Bird","Termite")</f>
        <v>PEST</v>
      </c>
      <c r="G631">
        <v>1</v>
      </c>
      <c r="H631" s="4">
        <f>+CHOOSE(Tbl_2020[[#This Row],[Type of Service]],2000,3000,3500,4500,5000)*Tbl_2020[[#This Row],[No of Visits]]</f>
        <v>2000</v>
      </c>
    </row>
    <row r="632" spans="2:8" x14ac:dyDescent="0.3">
      <c r="B632" t="s">
        <v>644</v>
      </c>
      <c r="C632" t="s">
        <v>1222</v>
      </c>
      <c r="D632" t="s">
        <v>14</v>
      </c>
      <c r="E632">
        <v>1</v>
      </c>
      <c r="F632" t="str">
        <f>+CHOOSE(Tbl_2020[[#This Row],[Type of Service]],"PEST","Disinfe","Rodent","Bird","Termite")</f>
        <v>PEST</v>
      </c>
      <c r="G632">
        <v>10</v>
      </c>
      <c r="H632" s="4">
        <f>+CHOOSE(Tbl_2020[[#This Row],[Type of Service]],2000,3000,3500,4500,5000)*Tbl_2020[[#This Row],[No of Visits]]</f>
        <v>20000</v>
      </c>
    </row>
    <row r="633" spans="2:8" x14ac:dyDescent="0.3">
      <c r="B633" t="s">
        <v>645</v>
      </c>
      <c r="C633" t="s">
        <v>1223</v>
      </c>
      <c r="D633" t="s">
        <v>16</v>
      </c>
      <c r="E633">
        <v>1</v>
      </c>
      <c r="F633" t="str">
        <f>+CHOOSE(Tbl_2020[[#This Row],[Type of Service]],"PEST","Disinfe","Rodent","Bird","Termite")</f>
        <v>PEST</v>
      </c>
      <c r="G633">
        <v>16</v>
      </c>
      <c r="H633" s="4">
        <f>+CHOOSE(Tbl_2020[[#This Row],[Type of Service]],2000,3000,3500,4500,5000)*Tbl_2020[[#This Row],[No of Visits]]</f>
        <v>32000</v>
      </c>
    </row>
    <row r="634" spans="2:8" x14ac:dyDescent="0.3">
      <c r="B634" t="s">
        <v>646</v>
      </c>
      <c r="C634" t="s">
        <v>1224</v>
      </c>
      <c r="D634" t="s">
        <v>4</v>
      </c>
      <c r="E634">
        <v>1</v>
      </c>
      <c r="F634" t="str">
        <f>+CHOOSE(Tbl_2020[[#This Row],[Type of Service]],"PEST","Disinfe","Rodent","Bird","Termite")</f>
        <v>PEST</v>
      </c>
      <c r="G634">
        <v>28</v>
      </c>
      <c r="H634" s="4">
        <f>+CHOOSE(Tbl_2020[[#This Row],[Type of Service]],2000,3000,3500,4500,5000)*Tbl_2020[[#This Row],[No of Visits]]</f>
        <v>56000</v>
      </c>
    </row>
    <row r="635" spans="2:8" x14ac:dyDescent="0.3">
      <c r="B635" t="s">
        <v>647</v>
      </c>
      <c r="C635" t="s">
        <v>1225</v>
      </c>
      <c r="D635" t="s">
        <v>6</v>
      </c>
      <c r="E635">
        <v>2</v>
      </c>
      <c r="F635" t="str">
        <f>+CHOOSE(Tbl_2020[[#This Row],[Type of Service]],"PEST","Disinfe","Rodent","Bird","Termite")</f>
        <v>Disinfe</v>
      </c>
      <c r="G635">
        <v>24</v>
      </c>
      <c r="H635" s="4">
        <f>+CHOOSE(Tbl_2020[[#This Row],[Type of Service]],2000,3000,3500,4500,5000)*Tbl_2020[[#This Row],[No of Visits]]</f>
        <v>72000</v>
      </c>
    </row>
    <row r="636" spans="2:8" x14ac:dyDescent="0.3">
      <c r="B636" t="s">
        <v>648</v>
      </c>
      <c r="C636" t="s">
        <v>1226</v>
      </c>
      <c r="D636" t="s">
        <v>8</v>
      </c>
      <c r="E636">
        <v>2</v>
      </c>
      <c r="F636" t="str">
        <f>+CHOOSE(Tbl_2020[[#This Row],[Type of Service]],"PEST","Disinfe","Rodent","Bird","Termite")</f>
        <v>Disinfe</v>
      </c>
      <c r="G636">
        <v>7</v>
      </c>
      <c r="H636" s="4">
        <f>+CHOOSE(Tbl_2020[[#This Row],[Type of Service]],2000,3000,3500,4500,5000)*Tbl_2020[[#This Row],[No of Visits]]</f>
        <v>21000</v>
      </c>
    </row>
    <row r="637" spans="2:8" x14ac:dyDescent="0.3">
      <c r="B637" t="s">
        <v>649</v>
      </c>
      <c r="C637" t="s">
        <v>1227</v>
      </c>
      <c r="D637" t="s">
        <v>10</v>
      </c>
      <c r="E637">
        <v>3</v>
      </c>
      <c r="F637" t="str">
        <f>+CHOOSE(Tbl_2020[[#This Row],[Type of Service]],"PEST","Disinfe","Rodent","Bird","Termite")</f>
        <v>Rodent</v>
      </c>
      <c r="G637">
        <v>25</v>
      </c>
      <c r="H637" s="4">
        <f>+CHOOSE(Tbl_2020[[#This Row],[Type of Service]],2000,3000,3500,4500,5000)*Tbl_2020[[#This Row],[No of Visits]]</f>
        <v>87500</v>
      </c>
    </row>
    <row r="638" spans="2:8" x14ac:dyDescent="0.3">
      <c r="B638" t="s">
        <v>650</v>
      </c>
      <c r="C638" t="s">
        <v>819</v>
      </c>
      <c r="D638" t="s">
        <v>12</v>
      </c>
      <c r="E638">
        <v>4</v>
      </c>
      <c r="F638" t="str">
        <f>+CHOOSE(Tbl_2020[[#This Row],[Type of Service]],"PEST","Disinfe","Rodent","Bird","Termite")</f>
        <v>Bird</v>
      </c>
      <c r="G638">
        <v>20</v>
      </c>
      <c r="H638" s="4">
        <f>+CHOOSE(Tbl_2020[[#This Row],[Type of Service]],2000,3000,3500,4500,5000)*Tbl_2020[[#This Row],[No of Visits]]</f>
        <v>90000</v>
      </c>
    </row>
    <row r="639" spans="2:8" x14ac:dyDescent="0.3">
      <c r="B639" t="s">
        <v>651</v>
      </c>
      <c r="C639" t="s">
        <v>1228</v>
      </c>
      <c r="D639" t="s">
        <v>14</v>
      </c>
      <c r="E639">
        <v>4</v>
      </c>
      <c r="F639" t="str">
        <f>+CHOOSE(Tbl_2020[[#This Row],[Type of Service]],"PEST","Disinfe","Rodent","Bird","Termite")</f>
        <v>Bird</v>
      </c>
      <c r="G639">
        <v>24</v>
      </c>
      <c r="H639" s="4">
        <f>+CHOOSE(Tbl_2020[[#This Row],[Type of Service]],2000,3000,3500,4500,5000)*Tbl_2020[[#This Row],[No of Visits]]</f>
        <v>108000</v>
      </c>
    </row>
    <row r="640" spans="2:8" x14ac:dyDescent="0.3">
      <c r="B640" t="s">
        <v>652</v>
      </c>
      <c r="C640" t="s">
        <v>1229</v>
      </c>
      <c r="D640" t="s">
        <v>16</v>
      </c>
      <c r="E640">
        <v>2</v>
      </c>
      <c r="F640" t="str">
        <f>+CHOOSE(Tbl_2020[[#This Row],[Type of Service]],"PEST","Disinfe","Rodent","Bird","Termite")</f>
        <v>Disinfe</v>
      </c>
      <c r="G640">
        <v>27</v>
      </c>
      <c r="H640" s="4">
        <f>+CHOOSE(Tbl_2020[[#This Row],[Type of Service]],2000,3000,3500,4500,5000)*Tbl_2020[[#This Row],[No of Visits]]</f>
        <v>81000</v>
      </c>
    </row>
    <row r="641" spans="2:8" x14ac:dyDescent="0.3">
      <c r="B641" t="s">
        <v>653</v>
      </c>
      <c r="C641" t="s">
        <v>859</v>
      </c>
      <c r="D641" t="s">
        <v>4</v>
      </c>
      <c r="E641">
        <v>4</v>
      </c>
      <c r="F641" t="str">
        <f>+CHOOSE(Tbl_2020[[#This Row],[Type of Service]],"PEST","Disinfe","Rodent","Bird","Termite")</f>
        <v>Bird</v>
      </c>
      <c r="G641">
        <v>29</v>
      </c>
      <c r="H641" s="4">
        <f>+CHOOSE(Tbl_2020[[#This Row],[Type of Service]],2000,3000,3500,4500,5000)*Tbl_2020[[#This Row],[No of Visits]]</f>
        <v>130500</v>
      </c>
    </row>
    <row r="642" spans="2:8" x14ac:dyDescent="0.3">
      <c r="B642" t="s">
        <v>654</v>
      </c>
      <c r="C642" t="s">
        <v>1230</v>
      </c>
      <c r="D642" t="s">
        <v>6</v>
      </c>
      <c r="E642">
        <v>3</v>
      </c>
      <c r="F642" t="str">
        <f>+CHOOSE(Tbl_2020[[#This Row],[Type of Service]],"PEST","Disinfe","Rodent","Bird","Termite")</f>
        <v>Rodent</v>
      </c>
      <c r="G642">
        <v>26</v>
      </c>
      <c r="H642" s="4">
        <f>+CHOOSE(Tbl_2020[[#This Row],[Type of Service]],2000,3000,3500,4500,5000)*Tbl_2020[[#This Row],[No of Visits]]</f>
        <v>91000</v>
      </c>
    </row>
    <row r="643" spans="2:8" x14ac:dyDescent="0.3">
      <c r="B643" t="s">
        <v>655</v>
      </c>
      <c r="C643" t="s">
        <v>1231</v>
      </c>
      <c r="D643" t="s">
        <v>8</v>
      </c>
      <c r="E643">
        <v>1</v>
      </c>
      <c r="F643" t="str">
        <f>+CHOOSE(Tbl_2020[[#This Row],[Type of Service]],"PEST","Disinfe","Rodent","Bird","Termite")</f>
        <v>PEST</v>
      </c>
      <c r="G643">
        <v>25</v>
      </c>
      <c r="H643" s="4">
        <f>+CHOOSE(Tbl_2020[[#This Row],[Type of Service]],2000,3000,3500,4500,5000)*Tbl_2020[[#This Row],[No of Visits]]</f>
        <v>50000</v>
      </c>
    </row>
    <row r="644" spans="2:8" x14ac:dyDescent="0.3">
      <c r="B644" t="s">
        <v>656</v>
      </c>
      <c r="C644" t="s">
        <v>1232</v>
      </c>
      <c r="D644" t="s">
        <v>10</v>
      </c>
      <c r="E644">
        <v>1</v>
      </c>
      <c r="F644" t="str">
        <f>+CHOOSE(Tbl_2020[[#This Row],[Type of Service]],"PEST","Disinfe","Rodent","Bird","Termite")</f>
        <v>PEST</v>
      </c>
      <c r="G644">
        <v>20</v>
      </c>
      <c r="H644" s="4">
        <f>+CHOOSE(Tbl_2020[[#This Row],[Type of Service]],2000,3000,3500,4500,5000)*Tbl_2020[[#This Row],[No of Visits]]</f>
        <v>40000</v>
      </c>
    </row>
    <row r="645" spans="2:8" x14ac:dyDescent="0.3">
      <c r="B645" t="s">
        <v>657</v>
      </c>
      <c r="C645" t="s">
        <v>1233</v>
      </c>
      <c r="D645" t="s">
        <v>12</v>
      </c>
      <c r="E645">
        <v>1</v>
      </c>
      <c r="F645" t="str">
        <f>+CHOOSE(Tbl_2020[[#This Row],[Type of Service]],"PEST","Disinfe","Rodent","Bird","Termite")</f>
        <v>PEST</v>
      </c>
      <c r="G645">
        <v>28</v>
      </c>
      <c r="H645" s="4">
        <f>+CHOOSE(Tbl_2020[[#This Row],[Type of Service]],2000,3000,3500,4500,5000)*Tbl_2020[[#This Row],[No of Visits]]</f>
        <v>56000</v>
      </c>
    </row>
    <row r="646" spans="2:8" x14ac:dyDescent="0.3">
      <c r="B646" t="s">
        <v>658</v>
      </c>
      <c r="C646" t="s">
        <v>1234</v>
      </c>
      <c r="D646" t="s">
        <v>14</v>
      </c>
      <c r="E646">
        <v>2</v>
      </c>
      <c r="F646" t="str">
        <f>+CHOOSE(Tbl_2020[[#This Row],[Type of Service]],"PEST","Disinfe","Rodent","Bird","Termite")</f>
        <v>Disinfe</v>
      </c>
      <c r="G646">
        <v>26</v>
      </c>
      <c r="H646" s="4">
        <f>+CHOOSE(Tbl_2020[[#This Row],[Type of Service]],2000,3000,3500,4500,5000)*Tbl_2020[[#This Row],[No of Visits]]</f>
        <v>78000</v>
      </c>
    </row>
    <row r="647" spans="2:8" x14ac:dyDescent="0.3">
      <c r="B647" t="s">
        <v>659</v>
      </c>
      <c r="C647" t="s">
        <v>1235</v>
      </c>
      <c r="D647" t="s">
        <v>16</v>
      </c>
      <c r="E647">
        <v>1</v>
      </c>
      <c r="F647" t="str">
        <f>+CHOOSE(Tbl_2020[[#This Row],[Type of Service]],"PEST","Disinfe","Rodent","Bird","Termite")</f>
        <v>PEST</v>
      </c>
      <c r="G647">
        <v>8</v>
      </c>
      <c r="H647" s="4">
        <f>+CHOOSE(Tbl_2020[[#This Row],[Type of Service]],2000,3000,3500,4500,5000)*Tbl_2020[[#This Row],[No of Visits]]</f>
        <v>16000</v>
      </c>
    </row>
    <row r="648" spans="2:8" x14ac:dyDescent="0.3">
      <c r="B648" t="s">
        <v>660</v>
      </c>
      <c r="C648" t="s">
        <v>1081</v>
      </c>
      <c r="D648" t="s">
        <v>4</v>
      </c>
      <c r="E648">
        <v>2</v>
      </c>
      <c r="F648" t="str">
        <f>+CHOOSE(Tbl_2020[[#This Row],[Type of Service]],"PEST","Disinfe","Rodent","Bird","Termite")</f>
        <v>Disinfe</v>
      </c>
      <c r="G648">
        <v>12</v>
      </c>
      <c r="H648" s="4">
        <f>+CHOOSE(Tbl_2020[[#This Row],[Type of Service]],2000,3000,3500,4500,5000)*Tbl_2020[[#This Row],[No of Visits]]</f>
        <v>36000</v>
      </c>
    </row>
    <row r="649" spans="2:8" x14ac:dyDescent="0.3">
      <c r="B649" t="s">
        <v>661</v>
      </c>
      <c r="C649" t="s">
        <v>1236</v>
      </c>
      <c r="D649" t="s">
        <v>6</v>
      </c>
      <c r="E649">
        <v>3</v>
      </c>
      <c r="F649" t="str">
        <f>+CHOOSE(Tbl_2020[[#This Row],[Type of Service]],"PEST","Disinfe","Rodent","Bird","Termite")</f>
        <v>Rodent</v>
      </c>
      <c r="G649">
        <v>21</v>
      </c>
      <c r="H649" s="4">
        <f>+CHOOSE(Tbl_2020[[#This Row],[Type of Service]],2000,3000,3500,4500,5000)*Tbl_2020[[#This Row],[No of Visits]]</f>
        <v>73500</v>
      </c>
    </row>
    <row r="650" spans="2:8" x14ac:dyDescent="0.3">
      <c r="B650" t="s">
        <v>662</v>
      </c>
      <c r="C650" t="s">
        <v>719</v>
      </c>
      <c r="D650" t="s">
        <v>8</v>
      </c>
      <c r="E650">
        <v>1</v>
      </c>
      <c r="F650" t="str">
        <f>+CHOOSE(Tbl_2020[[#This Row],[Type of Service]],"PEST","Disinfe","Rodent","Bird","Termite")</f>
        <v>PEST</v>
      </c>
      <c r="G650">
        <v>14</v>
      </c>
      <c r="H650" s="4">
        <f>+CHOOSE(Tbl_2020[[#This Row],[Type of Service]],2000,3000,3500,4500,5000)*Tbl_2020[[#This Row],[No of Visits]]</f>
        <v>28000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A0A0730-EC0B-48E5-B02A-20CA32D922CB}">
  <ds:schemaRefs/>
</ds:datastoreItem>
</file>

<file path=customXml/itemProps2.xml><?xml version="1.0" encoding="utf-8"?>
<ds:datastoreItem xmlns:ds="http://schemas.openxmlformats.org/officeDocument/2006/customXml" ds:itemID="{0C6AAB28-5C89-4B5D-AE9E-9B0B98E748C8}">
  <ds:schemaRefs/>
</ds:datastoreItem>
</file>

<file path=customXml/itemProps3.xml><?xml version="1.0" encoding="utf-8"?>
<ds:datastoreItem xmlns:ds="http://schemas.openxmlformats.org/officeDocument/2006/customXml" ds:itemID="{602EF94F-ED7F-41A7-9C79-E06D6000A5F4}">
  <ds:schemaRefs/>
</ds:datastoreItem>
</file>

<file path=customXml/itemProps4.xml><?xml version="1.0" encoding="utf-8"?>
<ds:datastoreItem xmlns:ds="http://schemas.openxmlformats.org/officeDocument/2006/customXml" ds:itemID="{A833BEB8-1497-4F9F-BED6-68350B3CC124}">
  <ds:schemaRefs/>
</ds:datastoreItem>
</file>

<file path=customXml/itemProps5.xml><?xml version="1.0" encoding="utf-8"?>
<ds:datastoreItem xmlns:ds="http://schemas.openxmlformats.org/officeDocument/2006/customXml" ds:itemID="{DE12B22A-6E85-4245-AA89-90C66A52AFBB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1583664D-B173-48D7-8710-DA3D320B66BA}">
  <ds:schemaRefs/>
</ds:datastoreItem>
</file>

<file path=customXml/itemProps7.xml><?xml version="1.0" encoding="utf-8"?>
<ds:datastoreItem xmlns:ds="http://schemas.openxmlformats.org/officeDocument/2006/customXml" ds:itemID="{2B737C7B-52D9-42FC-A0B0-5BC38FC0226A}">
  <ds:schemaRefs/>
</ds:datastoreItem>
</file>

<file path=customXml/itemProps8.xml><?xml version="1.0" encoding="utf-8"?>
<ds:datastoreItem xmlns:ds="http://schemas.openxmlformats.org/officeDocument/2006/customXml" ds:itemID="{9FAA30AC-3759-4921-835E-158707C9B085}">
  <ds:schemaRefs/>
</ds:datastoreItem>
</file>

<file path=customXml/itemProps9.xml><?xml version="1.0" encoding="utf-8"?>
<ds:datastoreItem xmlns:ds="http://schemas.openxmlformats.org/officeDocument/2006/customXml" ds:itemID="{5602D518-95D3-4FF0-842B-8D9E3F3A04BD}">
  <ds:schemaRefs/>
</ds:datastoreItem>
</file>

<file path=customXml/itemProps10.xml><?xml version="1.0" encoding="utf-8"?>
<ds:datastoreItem xmlns:ds="http://schemas.openxmlformats.org/officeDocument/2006/customXml" ds:itemID="{116242B9-77BC-4DDF-AEC2-AAB7879E7D31}">
  <ds:schemaRefs/>
</ds:datastoreItem>
</file>

<file path=customXml/itemProps11.xml><?xml version="1.0" encoding="utf-8"?>
<ds:datastoreItem xmlns:ds="http://schemas.openxmlformats.org/officeDocument/2006/customXml" ds:itemID="{6C8588B0-1064-40DD-99AD-DFA18F24EC79}">
  <ds:schemaRefs/>
</ds:datastoreItem>
</file>

<file path=customXml/itemProps12.xml><?xml version="1.0" encoding="utf-8"?>
<ds:datastoreItem xmlns:ds="http://schemas.openxmlformats.org/officeDocument/2006/customXml" ds:itemID="{2573CD5B-2E9B-4CFE-A308-79756EA4C258}">
  <ds:schemaRefs/>
</ds:datastoreItem>
</file>

<file path=customXml/itemProps13.xml><?xml version="1.0" encoding="utf-8"?>
<ds:datastoreItem xmlns:ds="http://schemas.openxmlformats.org/officeDocument/2006/customXml" ds:itemID="{D4ECE2B7-53B1-452F-886B-02FDF32F1426}">
  <ds:schemaRefs/>
</ds:datastoreItem>
</file>

<file path=customXml/itemProps14.xml><?xml version="1.0" encoding="utf-8"?>
<ds:datastoreItem xmlns:ds="http://schemas.openxmlformats.org/officeDocument/2006/customXml" ds:itemID="{B54541A9-689E-4069-9A41-760A64D760D9}">
  <ds:schemaRefs/>
</ds:datastoreItem>
</file>

<file path=customXml/itemProps15.xml><?xml version="1.0" encoding="utf-8"?>
<ds:datastoreItem xmlns:ds="http://schemas.openxmlformats.org/officeDocument/2006/customXml" ds:itemID="{86C81029-10DD-4A6D-8776-96D83BFCF936}">
  <ds:schemaRefs/>
</ds:datastoreItem>
</file>

<file path=customXml/itemProps16.xml><?xml version="1.0" encoding="utf-8"?>
<ds:datastoreItem xmlns:ds="http://schemas.openxmlformats.org/officeDocument/2006/customXml" ds:itemID="{A44C23D1-C2A9-4CBF-AB46-8C277F5AFE57}">
  <ds:schemaRefs/>
</ds:datastoreItem>
</file>

<file path=customXml/itemProps17.xml><?xml version="1.0" encoding="utf-8"?>
<ds:datastoreItem xmlns:ds="http://schemas.openxmlformats.org/officeDocument/2006/customXml" ds:itemID="{1150029D-0C8A-4EC4-9ECF-CD0689E5BB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PVM</vt:lpstr>
      <vt:lpstr>Sales 2021</vt:lpstr>
      <vt:lpstr>Sales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Augustine</dc:creator>
  <cp:lastModifiedBy>Divya Augustine</cp:lastModifiedBy>
  <dcterms:created xsi:type="dcterms:W3CDTF">2022-04-20T17:25:35Z</dcterms:created>
  <dcterms:modified xsi:type="dcterms:W3CDTF">2026-06-17T14:48:10Z</dcterms:modified>
</cp:coreProperties>
</file>