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E9815D76-B637-46DD-B2D0-9932065F2684}" xr6:coauthVersionLast="47" xr6:coauthVersionMax="47" xr10:uidLastSave="{00000000-0000-0000-0000-000000000000}"/>
  <bookViews>
    <workbookView xWindow="-108" yWindow="-108" windowWidth="23256" windowHeight="13896" tabRatio="869" xr2:uid="{00000000-000D-0000-FFFF-FFFF00000000}"/>
  </bookViews>
  <sheets>
    <sheet name="WFD" sheetId="14" r:id="rId1"/>
    <sheet name="TBl_Sales" sheetId="1" r:id="rId2"/>
    <sheet name="Control" sheetId="13" r:id="rId3"/>
  </sheets>
  <definedNames>
    <definedName name="_xlnm._FilterDatabase" localSheetId="1" hidden="1">TBl_Sales!$A$2:$K$133</definedName>
    <definedName name="_xlchart.v1.0" hidden="1">WFD!$C$8:$J$8</definedName>
    <definedName name="_xlchart.v1.1" hidden="1">WFD!$C$9:$J$9</definedName>
    <definedName name="_xlcn.WorksheetConnection_Waterfall.xlsxTab_Salesperson1" hidden="1">Tab_Salesperson[]</definedName>
    <definedName name="_xlcn.WorksheetConnection_Waterfall.xlsxTbl_Product1" hidden="1">Tbl_Product[]</definedName>
    <definedName name="_xlcn.WorksheetConnection_Waterfall.xlsxTbl_Region1" hidden="1">Tbl_Region[]</definedName>
    <definedName name="Slicer_Date_Hierarchy">#N/A</definedName>
    <definedName name="Slicer_Month">#N/A</definedName>
    <definedName name="Slicer_Name">#N/A</definedName>
    <definedName name="Slicer_Product1">#N/A</definedName>
    <definedName name="Slicer_Region1">#N/A</definedName>
  </definedNames>
  <calcPr calcId="191029"/>
  <pivotCaches>
    <pivotCache cacheId="75" r:id="rId4"/>
  </pivotCaches>
  <extLst>
    <ext xmlns:x14="http://schemas.microsoft.com/office/spreadsheetml/2009/9/main" uri="{876F7934-8845-4945-9796-88D515C7AA90}">
      <x14:pivotCaches>
        <pivotCache cacheId="78" r:id="rId5"/>
      </x14:pivotCaches>
    </ex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841E416B-1EF1-43b6-AB56-02D37102CBD5}">
      <x15:pivotCaches>
        <pivotCache cacheId="97" r:id="rId11"/>
        <pivotCache cacheId="100" r:id="rId12"/>
      </x15:pivotCaches>
    </ext>
    <ext xmlns:x15="http://schemas.microsoft.com/office/spreadsheetml/2010/11/main" uri="{983426D0-5260-488c-9760-48F4B6AC55F4}">
      <x15:pivotTableReferences>
        <x15:pivotTableReference r:id="rId13"/>
        <x15:pivotTableReference r:id="rId1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ry_salesdata_25118313-39fd-46f1-ba43-363b5efb50db" name="Qry_salesdata" connection="Query - Qry_salesdata"/>
          <x15:modelTable id="Tbl_Region" name="Tbl_Region" connection="WorksheetConnection_Waterfall.xlsx!Tbl_Region"/>
          <x15:modelTable id="Tbl_Product" name="Tbl_Product" connection="WorksheetConnection_Waterfall.xlsx!Tbl_Product"/>
          <x15:modelTable id="Tab_Salesperson" name="Tab_Salesperson" connection="WorksheetConnection_Waterfall.xlsx!Tab_Salesperson"/>
          <x15:modelTable id="Calendar" name="Calendar" connection="Connection"/>
        </x15:modelTables>
        <x15:modelRelationships>
          <x15:modelRelationship fromTable="Qry_salesdata" fromColumn="Region" toTable="Tbl_Region" toColumn="Region"/>
          <x15:modelRelationship fromTable="Qry_salesdata" fromColumn="Sales Person" toTable="Tab_Salesperson" toColumn="Name"/>
          <x15:modelRelationship fromTable="Qry_salesdata" fromColumn="Product" toTable="Tbl_Product" toColumn="Product"/>
          <x15:modelRelationship fromTable="Qry_sales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3" l="1"/>
  <c r="I8" i="13" s="1"/>
  <c r="E4" i="13"/>
  <c r="E5" i="13" s="1"/>
  <c r="E6" i="13" s="1"/>
  <c r="E7" i="13" s="1"/>
  <c r="E8" i="13" s="1"/>
  <c r="E9" i="13" s="1"/>
  <c r="E10" i="13" s="1"/>
  <c r="E11" i="13" s="1"/>
  <c r="C7" i="14"/>
  <c r="F7" i="14"/>
  <c r="D7" i="14"/>
  <c r="E7" i="14"/>
  <c r="H7" i="14"/>
  <c r="J7" i="14"/>
  <c r="I7" i="14"/>
  <c r="G7" i="14"/>
  <c r="J9" i="14"/>
  <c r="H9" i="14"/>
  <c r="C9" i="14"/>
  <c r="E9" i="14"/>
  <c r="I9" i="14"/>
  <c r="G9" i="14"/>
  <c r="F9" i="14"/>
  <c r="D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B0336C-E43E-45BA-9BCD-58F18522408A}" name="Connection" type="104" refreshedVersion="0" background="1">
    <extLst>
      <ext xmlns:x15="http://schemas.microsoft.com/office/spreadsheetml/2010/11/main" uri="{DE250136-89BD-433C-8126-D09CA5730AF9}">
        <x15:connection id="Calendar"/>
      </ext>
    </extLst>
  </connection>
  <connection id="2" xr16:uid="{093A3019-1B86-4D3C-8449-3AA9204D6E9D}" name="Query - Qry_salesdata" description="Connection to the 'Qry_salesdata' query in the workbook." type="100" refreshedVersion="8" minRefreshableVersion="5">
    <extLst>
      <ext xmlns:x15="http://schemas.microsoft.com/office/spreadsheetml/2010/11/main" uri="{DE250136-89BD-433C-8126-D09CA5730AF9}">
        <x15:connection id="7ba45f78-1829-41f7-9bf7-5c2abd6b20be"/>
      </ext>
    </extLst>
  </connection>
  <connection id="3" xr16:uid="{B5B4E7F6-D3BD-4556-B01F-38E006B3FB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6CC8E02-728D-4E14-BC9B-01E798577D49}" name="WorksheetConnection_Waterfall.xlsx!Tab_Salesperson" type="102" refreshedVersion="8" minRefreshableVersion="5">
    <extLst>
      <ext xmlns:x15="http://schemas.microsoft.com/office/spreadsheetml/2010/11/main" uri="{DE250136-89BD-433C-8126-D09CA5730AF9}">
        <x15:connection id="Tab_Salesperson">
          <x15:rangePr sourceName="_xlcn.WorksheetConnection_Waterfall.xlsxTab_Salesperson1"/>
        </x15:connection>
      </ext>
    </extLst>
  </connection>
  <connection id="5" xr16:uid="{C4D7A1B0-0C93-499A-8113-756463463476}" name="WorksheetConnection_Waterfall.xlsx!Tbl_Product" type="102" refreshedVersion="8" minRefreshableVersion="5">
    <extLst>
      <ext xmlns:x15="http://schemas.microsoft.com/office/spreadsheetml/2010/11/main" uri="{DE250136-89BD-433C-8126-D09CA5730AF9}">
        <x15:connection id="Tbl_Product">
          <x15:rangePr sourceName="_xlcn.WorksheetConnection_Waterfall.xlsxTbl_Product1"/>
        </x15:connection>
      </ext>
    </extLst>
  </connection>
  <connection id="6" xr16:uid="{9EAB17FA-1F45-4E7F-8A32-AA26006C7768}" name="WorksheetConnection_Waterfall.xlsx!Tbl_Region" type="102" refreshedVersion="8" minRefreshableVersion="5">
    <extLst>
      <ext xmlns:x15="http://schemas.microsoft.com/office/spreadsheetml/2010/11/main" uri="{DE250136-89BD-433C-8126-D09CA5730AF9}">
        <x15:connection id="Tbl_Region">
          <x15:rangePr sourceName="_xlcn.WorksheetConnection_Waterfall.xlsxTbl_Region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ThisWorkbookDataModel"/>
    <s v="{[Tab_Salesperson].[Name].[All]}"/>
    <s v="{[Tbl_Product].[Product].[All]}"/>
    <s v="[Measures].[Sum of Admin]"/>
    <s v="[Measures].[Sum of COGS]"/>
    <s v="[Measures].[Sum of Finance]"/>
    <s v="[Measures].[Sum of Oth Income]"/>
    <s v="[Measures].[Sum of Direct OH]"/>
    <s v="[Measures].[Sum of Sales]"/>
    <s v="[Measures].[Sum of NP]"/>
    <s v="[Measures].[Sum of GP]"/>
    <s v="{[Calendar].[Date Hierarchy].[Year].&amp;[2022]}"/>
    <s v="{[Tbl_Region].[Region].[All]}"/>
  </metadataStrings>
  <mdxMetadata count="12">
    <mdx n="0" f="m">
      <t c="1">
        <n x="3"/>
      </t>
    </mdx>
    <mdx n="0" f="m">
      <t c="1">
        <n x="4"/>
      </t>
    </mdx>
    <mdx n="0" f="m">
      <t c="1">
        <n x="5"/>
      </t>
    </mdx>
    <mdx n="0" f="m">
      <t c="1">
        <n x="6"/>
      </t>
    </mdx>
    <mdx n="0" f="m">
      <t c="1">
        <n x="7"/>
      </t>
    </mdx>
    <mdx n="0" f="m">
      <t c="1">
        <n x="8"/>
      </t>
    </mdx>
    <mdx n="0" f="m">
      <t c="1">
        <n x="9"/>
      </t>
    </mdx>
    <mdx n="0" f="m">
      <t c="1">
        <n x="10"/>
      </t>
    </mdx>
    <mdx n="0" f="v">
      <t c="5">
        <n x="9"/>
        <n x="11" s="1"/>
        <n x="1" s="1"/>
        <n x="12" s="1"/>
        <n x="2" s="1"/>
      </t>
    </mdx>
    <mdx n="0" f="v">
      <t c="5">
        <n x="8"/>
        <n x="11" s="1"/>
        <n x="1" s="1"/>
        <n x="12" s="1"/>
        <n x="2" s="1"/>
      </t>
    </mdx>
    <mdx n="0" f="v">
      <t c="5">
        <n x="10"/>
        <n x="11" s="1"/>
        <n x="1" s="1"/>
        <n x="12" s="1"/>
        <n x="2" s="1"/>
      </t>
    </mdx>
    <mdx n="0" f="v">
      <t c="5">
        <n x="6"/>
        <n x="11" s="1"/>
        <n x="1" s="1"/>
        <n x="12" s="1"/>
        <n x="2" s="1"/>
      </t>
    </mdx>
  </mdx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<sst xmlns="http://schemas.openxmlformats.org/spreadsheetml/2006/main" count="447" uniqueCount="37">
  <si>
    <t>Region</t>
  </si>
  <si>
    <t>ROW</t>
  </si>
  <si>
    <t>MENA</t>
  </si>
  <si>
    <t>ASIA</t>
  </si>
  <si>
    <t>Date</t>
  </si>
  <si>
    <t>Product</t>
  </si>
  <si>
    <t>ABC</t>
  </si>
  <si>
    <t>DCD</t>
  </si>
  <si>
    <t>CCX</t>
  </si>
  <si>
    <t>FFA</t>
  </si>
  <si>
    <t>XYZ</t>
  </si>
  <si>
    <t>Sales Person</t>
  </si>
  <si>
    <t>Sales Price</t>
  </si>
  <si>
    <t>COGS</t>
  </si>
  <si>
    <t>Direct OH</t>
  </si>
  <si>
    <t>GP</t>
  </si>
  <si>
    <t>Finance</t>
  </si>
  <si>
    <t>Admin</t>
  </si>
  <si>
    <t>Raju</t>
  </si>
  <si>
    <t>Malu</t>
  </si>
  <si>
    <t>Units</t>
  </si>
  <si>
    <t>Raj</t>
  </si>
  <si>
    <t>Jobin</t>
  </si>
  <si>
    <t>Oth Income</t>
  </si>
  <si>
    <t>Sales</t>
  </si>
  <si>
    <t>Sl No</t>
  </si>
  <si>
    <t>SL no</t>
  </si>
  <si>
    <t>Name</t>
  </si>
  <si>
    <t xml:space="preserve"> COGS</t>
  </si>
  <si>
    <t>of NP</t>
  </si>
  <si>
    <t>CAGS Business Services LLC : 2021 and 2022</t>
  </si>
  <si>
    <t>Ravi</t>
  </si>
  <si>
    <t>Paul</t>
  </si>
  <si>
    <t>Faisal</t>
  </si>
  <si>
    <t>Revenue to Net Profit Variance &amp; Waterfall Analysis</t>
  </si>
  <si>
    <t>Jay</t>
  </si>
  <si>
    <t>Manu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</si>
</sst>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Calibri"/>
      <family val="2"/>
      <scheme val="minor"/>
    </font>
    <font>
      <sz val="11"/>
      <color theme="1"/>
      <name val="Calibri"/>
      <family val="2"/>
      <scheme val="minor"/>
    </font>
    <font>
      <sz val="18"/>
      <color theme="1"/>
      <name val="Calibri"/>
      <family val="2"/>
      <scheme val="minor"/>
    </font>
    <font>
      <b/>
      <sz val="18"/>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24994659260841701"/>
        <bgColor indexed="64"/>
      </patternFill>
    </fill>
  </fills>
  <borders count="10">
    <border>
      <left/>
      <right/>
      <top/>
      <bottom/>
      <diagonal/>
    </border>
    <border>
      <left/>
      <right/>
      <top/>
      <bottom style="thin">
        <color indexed="64"/>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14" fontId="0" fillId="0" borderId="0" xfId="1" applyNumberFormat="1" applyFont="1"/>
    <xf numFmtId="0" fontId="0" fillId="0" borderId="1" xfId="0" applyBorder="1"/>
    <xf numFmtId="14" fontId="0" fillId="0" borderId="1" xfId="1" applyNumberFormat="1" applyFont="1" applyBorder="1"/>
    <xf numFmtId="0" fontId="0" fillId="2" borderId="0" xfId="0" applyFill="1"/>
    <xf numFmtId="0" fontId="2" fillId="3" borderId="3" xfId="0" applyFont="1" applyFill="1" applyBorder="1" applyAlignment="1">
      <alignment horizontal="centerContinuous"/>
    </xf>
    <xf numFmtId="0" fontId="3" fillId="3" borderId="3" xfId="0" applyFont="1" applyFill="1" applyBorder="1" applyAlignment="1">
      <alignment horizontal="centerContinuous"/>
    </xf>
    <xf numFmtId="0" fontId="2" fillId="3" borderId="4" xfId="0" applyFont="1" applyFill="1" applyBorder="1" applyAlignment="1">
      <alignment horizontal="centerContinuous"/>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3" borderId="2" xfId="0" applyFont="1" applyFill="1" applyBorder="1" applyAlignment="1">
      <alignment horizontal="centerContinuous"/>
    </xf>
    <xf numFmtId="9" fontId="0" fillId="0" borderId="0" xfId="0" applyNumberFormat="1"/>
    <xf numFmtId="0" fontId="4" fillId="3" borderId="3" xfId="0" applyFont="1" applyFill="1" applyBorder="1" applyAlignment="1">
      <alignment horizontal="center"/>
    </xf>
  </cellXfs>
  <cellStyles count="2">
    <cellStyle name="Comma" xfId="1" builtinId="3"/>
    <cellStyle name="Normal" xfId="0" builtinId="0"/>
  </cellStyles>
  <dxfs count="5">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9" formatCode="dd/mm/yyyy"/>
    </dxf>
    <dxf>
      <border outline="0">
        <top style="thin">
          <color indexed="64"/>
        </top>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D9" s="14"/>
        <tr r="D9" s="14"/>
        <tr r="D9" s="14"/>
        <tr r="D9" s="14"/>
        <tr r="D9" s="14"/>
        <tr r="F9" s="14"/>
        <tr r="F9" s="14"/>
        <tr r="F9" s="14"/>
        <tr r="F9" s="14"/>
        <tr r="F9" s="14"/>
        <tr r="G9" s="14"/>
        <tr r="G9" s="14"/>
        <tr r="G9" s="14"/>
        <tr r="G9" s="14"/>
        <tr r="G9" s="14"/>
        <tr r="I9" s="14"/>
        <tr r="I9" s="14"/>
        <tr r="I9" s="14"/>
        <tr r="I9" s="14"/>
        <tr r="I9" s="14"/>
        <tr r="E9" s="14"/>
        <tr r="E9" s="14"/>
        <tr r="E9" s="14"/>
        <tr r="E9" s="14"/>
        <tr r="E9" s="14"/>
        <tr r="C9" s="14"/>
        <tr r="C9" s="14"/>
        <tr r="C9" s="14"/>
        <tr r="C9" s="14"/>
        <tr r="C9" s="14"/>
        <tr r="H9" s="14"/>
        <tr r="H9" s="14"/>
        <tr r="H9" s="14"/>
        <tr r="H9" s="14"/>
        <tr r="H9" s="14"/>
        <tr r="J9" s="14"/>
        <tr r="J9" s="14"/>
        <tr r="J9" s="14"/>
        <tr r="J9" s="14"/>
        <tr r="J9" s="14"/>
        <tr r="G7" s="14"/>
        <tr r="I7" s="14"/>
        <tr r="J7" s="14"/>
        <tr r="H7" s="14"/>
        <tr r="E7" s="14"/>
        <tr r="D7" s="14"/>
        <tr r="F7" s="14"/>
        <tr r="C7" s="14"/>
      </tp>
    </main>
  </volType>
</volTypes>
</file>

<file path=xl/_rels/workbook.xml.rels><?xml version="1.0" encoding="UTF-8" standalone="yes"?>
<Relationships xmlns="http://schemas.openxmlformats.org/package/2006/relationships"><Relationship Id="rId13" Type="http://schemas.openxmlformats.org/officeDocument/2006/relationships/pivotTable" Target="pivotTables/pivotTabl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volatileDependencies" Target="volatileDependencies.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microsoft.com/office/2007/relationships/slicerCache" Target="slicerCaches/slicerCache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pivotTable" Target="pivotTables/pivotTabl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microsoft.com/office/2007/relationships/slicerCache" Target="slicerCaches/slicerCache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 Persons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Raj</c:v>
              </c:pt>
              <c:pt idx="1">
                <c:v>Faisal</c:v>
              </c:pt>
              <c:pt idx="2">
                <c:v>Paul</c:v>
              </c:pt>
              <c:pt idx="3">
                <c:v>Manu</c:v>
              </c:pt>
              <c:pt idx="4">
                <c:v>Jay</c:v>
              </c:pt>
            </c:strLit>
          </c:cat>
          <c:val>
            <c:numLit>
              <c:formatCode>General</c:formatCode>
              <c:ptCount val="5"/>
              <c:pt idx="0">
                <c:v>330</c:v>
              </c:pt>
              <c:pt idx="1">
                <c:v>405</c:v>
              </c:pt>
              <c:pt idx="2">
                <c:v>1024</c:v>
              </c:pt>
              <c:pt idx="3">
                <c:v>3135</c:v>
              </c:pt>
              <c:pt idx="4">
                <c:v>4095</c:v>
              </c:pt>
            </c:numLit>
          </c:val>
          <c:extLst>
            <c:ext xmlns:c16="http://schemas.microsoft.com/office/drawing/2014/chart" uri="{C3380CC4-5D6E-409C-BE32-E72D297353CC}">
              <c16:uniqueId val="{00000000-2EA6-4733-A432-00743F34C5B4}"/>
            </c:ext>
          </c:extLst>
        </c:ser>
        <c:dLbls>
          <c:showLegendKey val="0"/>
          <c:showVal val="0"/>
          <c:showCatName val="0"/>
          <c:showSerName val="0"/>
          <c:showPercent val="0"/>
          <c:showBubbleSize val="0"/>
        </c:dLbls>
        <c:gapWidth val="219"/>
        <c:axId val="348330464"/>
        <c:axId val="431664624"/>
      </c:barChart>
      <c:catAx>
        <c:axId val="34833046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64624"/>
        <c:crosses val="autoZero"/>
        <c:auto val="1"/>
        <c:lblAlgn val="ctr"/>
        <c:lblOffset val="100"/>
        <c:noMultiLvlLbl val="0"/>
        <c:extLst>
          <c:ext xmlns:c15="http://schemas.microsoft.com/office/drawing/2012/chart" uri="{F40574EE-89B7-4290-83BB-5DA773EAF853}">
            <c15:numFmt c:formatCode="General" c:sourceLinked="1"/>
          </c:ext>
        </c:extLst>
      </c:catAx>
      <c:valAx>
        <c:axId val="43166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3046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[Revenue_to_NetProfit_Waterfall_Model.xlsx]PivotChartTable2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DCD</c:v>
              </c:pt>
              <c:pt idx="1">
                <c:v>CCX</c:v>
              </c:pt>
              <c:pt idx="2">
                <c:v>ABC</c:v>
              </c:pt>
              <c:pt idx="3">
                <c:v>FFA</c:v>
              </c:pt>
              <c:pt idx="4">
                <c:v>XYZ</c:v>
              </c:pt>
            </c:strLit>
          </c:cat>
          <c:val>
            <c:numLit>
              <c:formatCode>General</c:formatCode>
              <c:ptCount val="5"/>
              <c:pt idx="0">
                <c:v>570</c:v>
              </c:pt>
              <c:pt idx="1">
                <c:v>571</c:v>
              </c:pt>
              <c:pt idx="2">
                <c:v>1039</c:v>
              </c:pt>
              <c:pt idx="3">
                <c:v>1109</c:v>
              </c:pt>
              <c:pt idx="4">
                <c:v>1767</c:v>
              </c:pt>
            </c:numLit>
          </c:val>
          <c:extLst>
            <c:ext xmlns:c16="http://schemas.microsoft.com/office/drawing/2014/chart" uri="{C3380CC4-5D6E-409C-BE32-E72D297353CC}">
              <c16:uniqueId val="{00000000-2F0C-4917-9F06-22024F055412}"/>
            </c:ext>
          </c:extLst>
        </c:ser>
        <c:dLbls>
          <c:showLegendKey val="0"/>
          <c:showVal val="0"/>
          <c:showCatName val="0"/>
          <c:showSerName val="0"/>
          <c:showPercent val="0"/>
          <c:showBubbleSize val="0"/>
        </c:dLbls>
        <c:gapWidth val="219"/>
        <c:axId val="427873280"/>
        <c:axId val="431665456"/>
      </c:barChart>
      <c:catAx>
        <c:axId val="42787328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65456"/>
        <c:crosses val="autoZero"/>
        <c:auto val="1"/>
        <c:lblAlgn val="ctr"/>
        <c:lblOffset val="100"/>
        <c:noMultiLvlLbl val="0"/>
        <c:extLst>
          <c:ext xmlns:c15="http://schemas.microsoft.com/office/drawing/2012/chart" uri="{F40574EE-89B7-4290-83BB-5DA773EAF853}">
            <c15:numFmt c:formatCode="General" c:sourceLinked="1"/>
          </c:ext>
        </c:extLst>
      </c:catAx>
      <c:valAx>
        <c:axId val="43166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7328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[Revenue_to_NetProfit_Waterfall_Model.xlsx]PivotChartTable3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Sales To NP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To NP</a:t>
          </a:r>
        </a:p>
      </cx:txPr>
    </cx:title>
    <cx:plotArea>
      <cx:plotAreaRegion>
        <cx:series layoutId="waterfall" uniqueId="{7C7EFC3C-BBA1-4C54-AEC8-A961BC622864}">
          <cx:dataId val="0"/>
          <cx:layoutPr>
            <cx:subtotals>
              <cx:idx val="0"/>
              <cx:idx val="3"/>
              <cx:idx val="7"/>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273843</xdr:colOff>
      <xdr:row>21</xdr:row>
      <xdr:rowOff>157163</xdr:rowOff>
    </xdr:from>
    <xdr:to>
      <xdr:col>6</xdr:col>
      <xdr:colOff>926306</xdr:colOff>
      <xdr:row>32</xdr:row>
      <xdr:rowOff>178593</xdr:rowOff>
    </xdr:to>
    <xdr:graphicFrame macro="">
      <xdr:nvGraphicFramePr>
        <xdr:cNvPr id="6" name="Chart 5">
          <a:extLst>
            <a:ext uri="{FF2B5EF4-FFF2-40B4-BE49-F238E27FC236}">
              <a16:creationId xmlns:a16="http://schemas.microsoft.com/office/drawing/2014/main" id="{2E97B7DB-6120-4937-BEF5-1810D9455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1012031</xdr:colOff>
      <xdr:row>21</xdr:row>
      <xdr:rowOff>166688</xdr:rowOff>
    </xdr:from>
    <xdr:to>
      <xdr:col>12</xdr:col>
      <xdr:colOff>531019</xdr:colOff>
      <xdr:row>32</xdr:row>
      <xdr:rowOff>152398</xdr:rowOff>
    </xdr:to>
    <xdr:graphicFrame macro="">
      <xdr:nvGraphicFramePr>
        <xdr:cNvPr id="7" name="Chart 6">
          <a:extLst>
            <a:ext uri="{FF2B5EF4-FFF2-40B4-BE49-F238E27FC236}">
              <a16:creationId xmlns:a16="http://schemas.microsoft.com/office/drawing/2014/main" id="{F3976CBF-A75F-4370-9526-471515E4B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102394</xdr:colOff>
      <xdr:row>15</xdr:row>
      <xdr:rowOff>57152</xdr:rowOff>
    </xdr:from>
    <xdr:to>
      <xdr:col>13</xdr:col>
      <xdr:colOff>130969</xdr:colOff>
      <xdr:row>21</xdr:row>
      <xdr:rowOff>2</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2D90C3C7-9CD8-4FA3-855B-23CAD855F6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62863" y="3033715"/>
              <a:ext cx="1850231" cy="1085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188119</xdr:colOff>
      <xdr:row>4</xdr:row>
      <xdr:rowOff>28575</xdr:rowOff>
    </xdr:from>
    <xdr:to>
      <xdr:col>16</xdr:col>
      <xdr:colOff>295275</xdr:colOff>
      <xdr:row>12</xdr:row>
      <xdr:rowOff>180974</xdr:rowOff>
    </xdr:to>
    <mc:AlternateContent xmlns:mc="http://schemas.openxmlformats.org/markup-compatibility/2006" xmlns:a14="http://schemas.microsoft.com/office/drawing/2010/main">
      <mc:Choice Requires="a14">
        <xdr:graphicFrame macro="">
          <xdr:nvGraphicFramePr>
            <xdr:cNvPr id="10" name="Name">
              <a:extLst>
                <a:ext uri="{FF2B5EF4-FFF2-40B4-BE49-F238E27FC236}">
                  <a16:creationId xmlns:a16="http://schemas.microsoft.com/office/drawing/2014/main" id="{8E9F344A-47E3-4155-8C73-3577667AA29D}"/>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9760744" y="1000125"/>
              <a:ext cx="1935956" cy="1600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242889</xdr:colOff>
      <xdr:row>13</xdr:row>
      <xdr:rowOff>97631</xdr:rowOff>
    </xdr:from>
    <xdr:to>
      <xdr:col>16</xdr:col>
      <xdr:colOff>254795</xdr:colOff>
      <xdr:row>19</xdr:row>
      <xdr:rowOff>173831</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8E6EBC0A-2542-4243-A566-5B8904166A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815514" y="2697956"/>
              <a:ext cx="1840706" cy="116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304800</xdr:colOff>
      <xdr:row>20</xdr:row>
      <xdr:rowOff>159544</xdr:rowOff>
    </xdr:from>
    <xdr:to>
      <xdr:col>16</xdr:col>
      <xdr:colOff>350043</xdr:colOff>
      <xdr:row>27</xdr:row>
      <xdr:rowOff>35719</xdr:rowOff>
    </xdr:to>
    <mc:AlternateContent xmlns:mc="http://schemas.openxmlformats.org/markup-compatibility/2006" xmlns:a14="http://schemas.microsoft.com/office/drawing/2010/main">
      <mc:Choice Requires="a14">
        <xdr:graphicFrame macro="">
          <xdr:nvGraphicFramePr>
            <xdr:cNvPr id="12" name="Product 2">
              <a:extLst>
                <a:ext uri="{FF2B5EF4-FFF2-40B4-BE49-F238E27FC236}">
                  <a16:creationId xmlns:a16="http://schemas.microsoft.com/office/drawing/2014/main" id="{62C7B893-4F27-4F73-986D-C815F436C3D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9877425" y="4026694"/>
              <a:ext cx="1874043"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xdr:row>
      <xdr:rowOff>47625</xdr:rowOff>
    </xdr:from>
    <xdr:to>
      <xdr:col>10</xdr:col>
      <xdr:colOff>35718</xdr:colOff>
      <xdr:row>18</xdr:row>
      <xdr:rowOff>185737</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1DEC0967-E779-41C0-8FF8-389CB55B55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3840" y="1022985"/>
              <a:ext cx="7533798" cy="269843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135731</xdr:colOff>
      <xdr:row>4</xdr:row>
      <xdr:rowOff>64294</xdr:rowOff>
    </xdr:from>
    <xdr:to>
      <xdr:col>13</xdr:col>
      <xdr:colOff>142875</xdr:colOff>
      <xdr:row>15</xdr:row>
      <xdr:rowOff>30957</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9C1AA52F-B1E9-4D74-8D6A-4572AFD410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879556" y="1035844"/>
              <a:ext cx="1835944" cy="19573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uthor" refreshedDate="46190.785678009262" backgroundQuery="1" createdVersion="3" refreshedVersion="8" minRefreshableVersion="3" recordCount="0" tupleCache="1" xr:uid="{47662A5A-B4AD-4DF8-A917-5FF3C5AD1C8A}">
  <cacheSource type="external" connectionId="3"/>
  <cacheFields count="3">
    <cacheField name="[Calendar].[Date Hierarchy].[Year]" caption="Year" numFmtId="0" hierarchy="1" level="1">
      <sharedItems count="1">
        <s v="[Calendar].[Date Hierarchy].[Year].&amp;[2022]" c="2022"/>
      </sharedItems>
    </cacheField>
    <cacheField name="[Tbl_Region].[Region].[Region]" caption="Region" numFmtId="0" hierarchy="30" level="1">
      <sharedItems count="1">
        <s v="[Tbl_Region].[Region].&amp;[MENA]" c="MENA"/>
      </sharedItems>
    </cacheField>
    <cacheField name="[Measures].[MeasuresLevel]" caption="MeasuresLevel" numFmtId="0" hierarchy="8">
      <sharedItems count="8">
        <s v="[Measures].[Sum of Sales]" c="Sum of Sales"/>
        <s v="[Measures].[Sum of GP]" c="Sum of GP"/>
        <s v="[Measures].[Sum of Oth Income]" c="Sum of Oth Income"/>
        <s v="[Measures].[Sum of COGS]" c="Sum of COGS"/>
        <s v="[Measures].[Sum of Finance]" c="Sum of Finance"/>
        <s v="[Measures].[Sum of NP]" c="Sum of NP"/>
        <s v="[Measures].[Sum of Admin]" c="Sum of Admin"/>
        <s v="[Measures].[Sum of Direct OH]" c="Sum of Direct OH"/>
      </sharedItems>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allCaption="All" dimensionUniqueName="[Calendar]" displayFolder="" count="4" unbalanced="0">
      <fieldsUsage count="2">
        <fieldUsage x="-1"/>
        <fieldUsage x="0"/>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2"/>
      </fieldsUsage>
    </cacheHierarchy>
    <cacheHierarchy uniqueName="[Qry_salesdata].[Sales Person]" caption="Sales Person" attribute="1" defaultMemberUniqueName="[Qry_salesdata].[Sales Person].[All]" allUniqueName="[Qry_salesdata].[Sales Person].[All]" dimensionUniqueName="[Qry_salesdata]" displayFolder="" count="2" memberValueDatatype="130" unbalanced="0"/>
    <cacheHierarchy uniqueName="[Qry_salesdata].[Region]" caption="Region" attribute="1" defaultMemberUniqueName="[Qry_salesdata].[Region].[All]" allUniqueName="[Qry_salesdata].[Region].[All]" dimensionUniqueName="[Qry_salesdata]" displayFolder="" count="2" memberValueDatatype="130" unbalanced="0"/>
    <cacheHierarchy uniqueName="[Qry_salesdata].[Date]" caption="Date" attribute="1" time="1" defaultMemberUniqueName="[Qry_salesdata].[Date].[All]" allUniqueName="[Qry_salesdata].[Date].[All]" dimensionUniqueName="[Qry_salesdata]" displayFolder="" count="2" memberValueDatatype="7" unbalanced="0"/>
    <cacheHierarchy uniqueName="[Qry_salesdata].[Product]" caption="Product" attribute="1" defaultMemberUniqueName="[Qry_salesdata].[Product].[All]" allUniqueName="[Qry_salesdata].[Product].[All]" dimensionUniqueName="[Qry_salesdata]" displayFolder="" count="2" memberValueDatatype="130" unbalanced="0"/>
    <cacheHierarchy uniqueName="[Qry_salesdata].[Sales Price]" caption="Sales Price" attribute="1" defaultMemberUniqueName="[Qry_salesdata].[Sales Price].[All]" allUniqueName="[Qry_salesdata].[Sales Price].[All]" dimensionUniqueName="[Qry_salesdata]" displayFolder="" count="2" memberValueDatatype="5" unbalanced="0"/>
    <cacheHierarchy uniqueName="[Qry_salesdata].[Units]" caption="Units" attribute="1" defaultMemberUniqueName="[Qry_salesdata].[Units].[All]" allUniqueName="[Qry_salesdata].[Units].[All]" dimensionUniqueName="[Qry_salesdata]" displayFolder="" count="2" memberValueDatatype="5" unbalanced="0"/>
    <cacheHierarchy uniqueName="[Qry_salesdata].[Oth Income]" caption="Oth Income" attribute="1" defaultMemberUniqueName="[Qry_salesdata].[Oth Income].[All]" allUniqueName="[Qry_salesdata].[Oth Income].[All]" dimensionUniqueName="[Qry_salesdata]" displayFolder="" count="2" memberValueDatatype="5" unbalanced="0"/>
    <cacheHierarchy uniqueName="[Qry_salesdata].[COGS]" caption="COGS" attribute="1" defaultMemberUniqueName="[Qry_salesdata].[COGS].[All]" allUniqueName="[Qry_salesdata].[COGS].[All]" dimensionUniqueName="[Qry_salesdata]" displayFolder="" count="2" memberValueDatatype="5" unbalanced="0"/>
    <cacheHierarchy uniqueName="[Qry_salesdata].[Direct OH]" caption="Direct OH" attribute="1" defaultMemberUniqueName="[Qry_salesdata].[Direct OH].[All]" allUniqueName="[Qry_salesdata].[Direct OH].[All]" dimensionUniqueName="[Qry_salesdata]" displayFolder="" count="2" memberValueDatatype="5" unbalanced="0"/>
    <cacheHierarchy uniqueName="[Qry_salesdata].[Finance]" caption="Finance" attribute="1" defaultMemberUniqueName="[Qry_salesdata].[Finance].[All]" allUniqueName="[Qry_salesdata].[Finance].[All]" dimensionUniqueName="[Qry_salesdata]" displayFolder="" count="2" memberValueDatatype="5" unbalanced="0"/>
    <cacheHierarchy uniqueName="[Qry_salesdata].[Admin]" caption="Admin" attribute="1" defaultMemberUniqueName="[Qry_salesdata].[Admin].[All]" allUniqueName="[Qry_salesdata].[Admin].[All]" dimensionUniqueName="[Qry_salesdata]" displayFolder="" count="2" memberValueDatatype="5" unbalanced="0"/>
    <cacheHierarchy uniqueName="[Qry_salesdata].[Add Column2]" caption="Add Column2" attribute="1" defaultMemberUniqueName="[Qry_salesdata].[Add Column2].[All]" allUniqueName="[Qry_salesdata].[Add Column2].[All]" dimensionUniqueName="[Qry_salesdata]" displayFolder="" count="2" memberValueDatatype="20" unbalanced="0"/>
    <cacheHierarchy uniqueName="[Qry_salesdata].[Sales]" caption="Sales" attribute="1" defaultMemberUniqueName="[Qry_salesdata].[Sales].[All]" allUniqueName="[Qry_salesdata].[Sales].[All]" dimensionUniqueName="[Qry_salesdata]" displayFolder="" count="2" memberValueDatatype="5" unbalanced="0"/>
    <cacheHierarchy uniqueName="[Qry_salesdata].[GP]" caption="GP" attribute="1" defaultMemberUniqueName="[Qry_salesdata].[GP].[All]" allUniqueName="[Qry_salesdata].[GP].[All]" dimensionUniqueName="[Qry_salesdata]" displayFolder="" count="2" memberValueDatatype="5" unbalanced="0"/>
    <cacheHierarchy uniqueName="[Qry_salesdata].[NP]" caption="NP" attribute="1" defaultMemberUniqueName="[Qry_salesdata].[NP].[All]" allUniqueName="[Qry_salesdata].[NP].[All]" dimensionUniqueName="[Qry_salesdata]" displayFolder="" count="2" memberValueDatatype="5" unbalanced="0"/>
    <cacheHierarchy uniqueName="[Tab_Salesperson].[SL no]" caption="SL no" attribute="1" defaultMemberUniqueName="[Tab_Salesperson].[SL no].[All]" allUniqueName="[Tab_Salesperson].[SL no].[All]" dimensionUniqueName="[Tab_Salesperson]" displayFolder="" count="2" memberValueDatatype="20" unbalanced="0"/>
    <cacheHierarchy uniqueName="[Tab_Salesperson].[Name]" caption="Name" attribute="1" defaultMemberUniqueName="[Tab_Salesperson].[Name].[All]" allUniqueName="[Tab_Salesperson].[Name].[All]" allCaption="All" dimensionUniqueName="[Tab_Salesperson]" displayFolder="" count="2" memberValueDatatype="130" unbalanced="0"/>
    <cacheHierarchy uniqueName="[Tab_Salesperson].[Region]" caption="Region" attribute="1" defaultMemberUniqueName="[Tab_Salesperson].[Region].[All]" allUniqueName="[Tab_Salesperson].[Region].[All]" dimensionUniqueName="[Tab_Salesperson]" displayFolder="" count="2" memberValueDatatype="130" unbalanced="0"/>
    <cacheHierarchy uniqueName="[Tbl_Product].[Sl No]" caption="Sl No" attribute="1" defaultMemberUniqueName="[Tbl_Product].[Sl No].[All]" allUniqueName="[Tbl_Product].[Sl No].[All]" dimensionUniqueName="[Tbl_Product]" displayFolder="" count="2" memberValueDatatype="20" unbalanced="0"/>
    <cacheHierarchy uniqueName="[Tbl_Product].[Product]" caption="Product" attribute="1" defaultMemberUniqueName="[Tbl_Product].[Product].[All]" allUniqueName="[Tbl_Product].[Product].[All]" allCaption="All" dimensionUniqueName="[Tbl_Product]" displayFolder="" count="2" memberValueDatatype="130" unbalanced="0"/>
    <cacheHierarchy uniqueName="[Tbl_Region].[Sl No]" caption="Sl No" attribute="1" defaultMemberUniqueName="[Tbl_Region].[Sl No].[All]" allUniqueName="[Tbl_Region].[Sl No].[All]" dimensionUniqueName="[Tbl_Region]" displayFolder="" count="2" memberValueDatatype="20" unbalanced="0"/>
    <cacheHierarchy uniqueName="[Tbl_Region].[Region]" caption="Region" attribute="1" defaultMemberUniqueName="[Tbl_Region].[Region].[All]" allUniqueName="[Tbl_Region].[Region].[All]" allCaption="All" dimensionUniqueName="[Tbl_Region]" displayFolder="" count="2" memberValueDatatype="130" unbalanced="0">
      <fieldsUsage count="2">
        <fieldUsage x="-1"/>
        <fieldUsage x="1"/>
      </fieldsUsage>
    </cacheHierarchy>
    <cacheHierarchy uniqueName="[Measures].[Slaes]" caption="Slaes" measure="1" displayFolder="" measureGroup="Qry_salesdata" count="0"/>
    <cacheHierarchy uniqueName="[Measures].[TOth Income]" caption="TOth Income" measure="1" displayFolder="" measureGroup="Qry_salesdata" count="0"/>
    <cacheHierarchy uniqueName="[Measures].[TCOGS]" caption="TCOGS" measure="1" displayFolder="" measureGroup="Qry_salesdata" count="0"/>
    <cacheHierarchy uniqueName="[Measures].[Copy of TCOGS]" caption="Copy of TCOGS" measure="1" displayFolder="" measureGroup="Qry_salesdata" count="0"/>
    <cacheHierarchy uniqueName="[Measures].[__XL_Count Qry_salesdata]" caption="__XL_Count Qry_salesdata" measure="1" displayFolder="" measureGroup="Qry_salesdata" count="0" hidden="1"/>
    <cacheHierarchy uniqueName="[Measures].[__XL_Count Tab_Salesperson]" caption="__XL_Count Tab_Salesperson" measure="1" displayFolder="" measureGroup="Tab_Salesperson" count="0" hidden="1"/>
    <cacheHierarchy uniqueName="[Measures].[__XL_Count Tbl_Product]" caption="__XL_Count Tbl_Product" measure="1" displayFolder="" measureGroup="Tbl_Product" count="0" hidden="1"/>
    <cacheHierarchy uniqueName="[Measures].[__XL_Count Tbl_Region]" caption="__XL_Count Tbl_Region" measure="1" displayFolder="" measureGroup="Tbl_Regio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Qry_salesdata" count="0" hidden="1">
      <extLst>
        <ext xmlns:x15="http://schemas.microsoft.com/office/spreadsheetml/2010/11/main" uri="{B97F6D7D-B522-45F9-BDA1-12C45D357490}">
          <x15:cacheHierarchy aggregatedColumn="21"/>
        </ext>
      </extLst>
    </cacheHierarchy>
    <cacheHierarchy uniqueName="[Measures].[Sum of Oth Income]" caption="Sum of Oth Income" measure="1" displayFolder="" measureGroup="Qry_sales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Qry_salesdata" count="0" hidden="1">
      <extLst>
        <ext xmlns:x15="http://schemas.microsoft.com/office/spreadsheetml/2010/11/main" uri="{B97F6D7D-B522-45F9-BDA1-12C45D357490}">
          <x15:cacheHierarchy aggregatedColumn="16"/>
        </ext>
      </extLst>
    </cacheHierarchy>
    <cacheHierarchy uniqueName="[Measures].[Sum of GP]" caption="Sum of GP" measure="1" displayFolder="" measureGroup="Qry_salesdata" count="0" hidden="1">
      <extLst>
        <ext xmlns:x15="http://schemas.microsoft.com/office/spreadsheetml/2010/11/main" uri="{B97F6D7D-B522-45F9-BDA1-12C45D357490}">
          <x15:cacheHierarchy aggregatedColumn="22"/>
        </ext>
      </extLst>
    </cacheHierarchy>
    <cacheHierarchy uniqueName="[Measures].[Sum of Direct OH]" caption="Sum of Direct OH" measure="1" displayFolder="" measureGroup="Qry_salesdata" count="0" hidden="1">
      <extLst>
        <ext xmlns:x15="http://schemas.microsoft.com/office/spreadsheetml/2010/11/main" uri="{B97F6D7D-B522-45F9-BDA1-12C45D357490}">
          <x15:cacheHierarchy aggregatedColumn="17"/>
        </ext>
      </extLst>
    </cacheHierarchy>
    <cacheHierarchy uniqueName="[Measures].[Sum of Finance]" caption="Sum of Finance" measure="1" displayFolder="" measureGroup="Qry_salesdata" count="0" hidden="1">
      <extLst>
        <ext xmlns:x15="http://schemas.microsoft.com/office/spreadsheetml/2010/11/main" uri="{B97F6D7D-B522-45F9-BDA1-12C45D357490}">
          <x15:cacheHierarchy aggregatedColumn="18"/>
        </ext>
      </extLst>
    </cacheHierarchy>
    <cacheHierarchy uniqueName="[Measures].[Sum of Admin]" caption="Sum of Admin" measure="1" displayFolder="" measureGroup="Qry_salesdata" count="0" hidden="1">
      <extLst>
        <ext xmlns:x15="http://schemas.microsoft.com/office/spreadsheetml/2010/11/main" uri="{B97F6D7D-B522-45F9-BDA1-12C45D357490}">
          <x15:cacheHierarchy aggregatedColumn="19"/>
        </ext>
      </extLst>
    </cacheHierarchy>
    <cacheHierarchy uniqueName="[Measures].[Sum of NP]" caption="Sum of NP" measure="1" displayFolder="" measureGroup="Qry_salesdata" count="0" hidden="1">
      <extLst>
        <ext xmlns:x15="http://schemas.microsoft.com/office/spreadsheetml/2010/11/main" uri="{B97F6D7D-B522-45F9-BDA1-12C45D357490}">
          <x15:cacheHierarchy aggregatedColumn="23"/>
        </ext>
      </extLst>
    </cacheHierarchy>
  </cacheHierarchies>
  <kpis count="0"/>
  <tupleCache>
    <entries count="24">
      <n v="4742">
        <tpls c="5">
          <tpl hier="1" item="0"/>
          <tpl fld="2" item="5"/>
          <tpl hier="25" item="1"/>
          <tpl hier="28" item="3"/>
          <tpl hier="30" item="2"/>
        </tpls>
      </n>
      <n v="497">
        <tpls c="5">
          <tpl hier="1" item="0"/>
          <tpl fld="2" item="4"/>
          <tpl hier="25" item="1"/>
          <tpl hier="28" item="3"/>
          <tpl hier="30" item="2"/>
        </tpls>
      </n>
      <n v="8254">
        <tpls c="5">
          <tpl hier="1" item="0"/>
          <tpl fld="2" item="0"/>
          <tpl hier="25" item="1"/>
          <tpl hier="28" item="3"/>
          <tpl hier="30" item="2"/>
        </tpls>
      </n>
      <n v="1172">
        <tpls c="5">
          <tpl hier="1" item="0"/>
          <tpl fld="2" item="3"/>
          <tpl hier="25" item="1"/>
          <tpl hier="28" item="3"/>
          <tpl hier="30" item="2"/>
        </tpls>
      </n>
      <n v="2237">
        <tpls c="5">
          <tpl hier="1" item="0"/>
          <tpl fld="2" item="6"/>
          <tpl hier="25" item="1"/>
          <tpl hier="28" item="3"/>
          <tpl hier="30" item="2"/>
        </tpls>
      </n>
      <n v="842">
        <tpls c="5">
          <tpl hier="1" item="0"/>
          <tpl fld="2" item="7"/>
          <tpl hier="25" item="1"/>
          <tpl hier="28" item="3"/>
          <tpl hier="30" item="2"/>
        </tpls>
      </n>
      <n v="8318">
        <tpls c="5">
          <tpl hier="1" item="0"/>
          <tpl fld="2" item="1"/>
          <tpl hier="25" item="1"/>
          <tpl hier="28" item="3"/>
          <tpl hier="30" item="2"/>
        </tpls>
      </n>
      <n v="1236">
        <tpls c="5">
          <tpl hier="1" item="0"/>
          <tpl fld="2" item="2"/>
          <tpl hier="25" item="1"/>
          <tpl hier="28" item="3"/>
          <tpl hier="30" item="2"/>
        </tpls>
      </n>
      <n v="5056">
        <tpls c="5">
          <tpl hier="1" item="0"/>
          <tpl fld="2" item="5"/>
          <tpl hier="25" item="1"/>
          <tpl hier="28" item="3"/>
          <tpl hier="30" item="4"/>
        </tpls>
      </n>
      <n v="560">
        <tpls c="5">
          <tpl hier="1" item="0"/>
          <tpl fld="2" item="4"/>
          <tpl hier="25" item="1"/>
          <tpl hier="28" item="3"/>
          <tpl hier="30" item="4"/>
        </tpls>
      </n>
      <n v="8989">
        <tpls c="5">
          <tpl hier="1" item="0"/>
          <tpl fld="2" item="0"/>
          <tpl hier="25" item="1"/>
          <tpl hier="28" item="3"/>
          <tpl hier="30" item="4"/>
        </tpls>
      </n>
      <n v="1307">
        <tpls c="5">
          <tpl hier="1" item="0"/>
          <tpl fld="2" item="3"/>
          <tpl hier="25" item="1"/>
          <tpl hier="28" item="3"/>
          <tpl hier="30" item="4"/>
        </tpls>
      </n>
      <n v="2500">
        <tpls c="5">
          <tpl hier="1" item="0"/>
          <tpl fld="2" item="6"/>
          <tpl hier="25" item="1"/>
          <tpl hier="28" item="3"/>
          <tpl hier="30" item="4"/>
        </tpls>
      </n>
      <n v="942">
        <tpls c="5">
          <tpl hier="1" item="0"/>
          <tpl fld="2" item="7"/>
          <tpl hier="25" item="1"/>
          <tpl hier="28" item="3"/>
          <tpl hier="30" item="4"/>
        </tpls>
      </n>
      <n v="9058">
        <tpls c="5">
          <tpl hier="1" item="0"/>
          <tpl fld="2" item="1"/>
          <tpl hier="25" item="1"/>
          <tpl hier="28" item="3"/>
          <tpl hier="30" item="4"/>
        </tpls>
      </n>
      <n v="1376">
        <tpls c="5">
          <tpl hier="1" item="0"/>
          <tpl fld="2" item="2"/>
          <tpl hier="25" item="1"/>
          <tpl hier="28" item="3"/>
          <tpl hier="30" item="4"/>
        </tpls>
      </n>
      <n v="27206">
        <tpls c="5">
          <tpl hier="1" item="5"/>
          <tpl fld="2" item="5"/>
          <tpl hier="25" item="1"/>
          <tpl hier="28" item="3"/>
          <tpl hier="30" item="4"/>
        </tpls>
      </n>
      <n v="2574">
        <tpls c="5">
          <tpl hier="1" item="5"/>
          <tpl fld="2" item="4"/>
          <tpl hier="25" item="1"/>
          <tpl hier="28" item="3"/>
          <tpl hier="30" item="4"/>
        </tpls>
      </n>
      <n v="45270">
        <tpls c="5">
          <tpl hier="1" item="5"/>
          <tpl fld="2" item="0"/>
          <tpl hier="25" item="1"/>
          <tpl hier="28" item="3"/>
          <tpl hier="30" item="4"/>
        </tpls>
      </n>
      <n v="5961">
        <tpls c="5">
          <tpl hier="1" item="5"/>
          <tpl fld="2" item="3"/>
          <tpl hier="25" item="1"/>
          <tpl hier="28" item="3"/>
          <tpl hier="30" item="4"/>
        </tpls>
      </n>
      <n v="11482">
        <tpls c="5">
          <tpl hier="1" item="5"/>
          <tpl fld="2" item="6"/>
          <tpl hier="25" item="1"/>
          <tpl hier="28" item="3"/>
          <tpl hier="30" item="4"/>
        </tpls>
      </n>
      <n v="4218">
        <tpls c="5">
          <tpl hier="1" item="5"/>
          <tpl fld="2" item="7"/>
          <tpl hier="25" item="1"/>
          <tpl hier="28" item="3"/>
          <tpl hier="30" item="4"/>
        </tpls>
      </n>
      <n v="45480">
        <tpls c="5">
          <tpl hier="1" item="5"/>
          <tpl fld="2" item="1"/>
          <tpl hier="25" item="1"/>
          <tpl hier="28" item="3"/>
          <tpl hier="30" item="4"/>
        </tpls>
      </n>
      <n v="6171">
        <tpls c="5">
          <tpl hier="1" item="5"/>
          <tpl fld="2" item="2"/>
          <tpl hier="25" item="1"/>
          <tpl hier="28" item="3"/>
          <tpl hier="30" item="4"/>
        </tpls>
      </n>
    </entries>
    <sets count="6">
      <set count="1" maxRank="1" setDefinition="{[Calendar].[Date Hierarchy].[Year].&amp;[2022]}">
        <tpls c="1">
          <tpl fld="0" item="0"/>
        </tpls>
      </set>
      <set count="1" maxRank="1" setDefinition="{[Tab_Salesperson].[Name].[All]}">
        <tpls c="1">
          <tpl hier="25" item="4294967295"/>
        </tpls>
      </set>
      <set count="1" maxRank="1" setDefinition="{[Tbl_Region].[Region].&amp;[MENA]}">
        <tpls c="1">
          <tpl fld="1" item="0"/>
        </tpls>
      </set>
      <set count="1" maxRank="1" setDefinition="{[Tbl_Product].[Product].[All]}">
        <tpls c="1">
          <tpl hier="28" item="4294967295"/>
        </tpls>
      </set>
      <set count="1" maxRank="1" setDefinition="{[Tbl_Region].[Region].[All]}">
        <tpls c="1">
          <tpl hier="30" item="4294967295"/>
        </tpls>
      </set>
      <set count="1" maxRank="1" setDefinition="{[Calendar].[Date Hierarchy].[All]}">
        <tpls c="1">
          <tpl hier="1" item="4294967295"/>
        </tpls>
      </set>
    </sets>
    <queryCache count="8">
      <query mdx="[Measures].[Sum of Sales]">
        <tpls c="1">
          <tpl fld="2" item="0"/>
        </tpls>
      </query>
      <query mdx="[Measures].[Sum of GP]">
        <tpls c="1">
          <tpl fld="2" item="1"/>
        </tpls>
      </query>
      <query mdx="[Measures].[Sum of Oth Income]">
        <tpls c="1">
          <tpl fld="2" item="2"/>
        </tpls>
      </query>
      <query mdx="[Measures].[Sum of COGS]">
        <tpls c="1">
          <tpl fld="2" item="3"/>
        </tpls>
      </query>
      <query mdx="[Measures].[Sum of Finance]">
        <tpls c="1">
          <tpl fld="2" item="4"/>
        </tpls>
      </query>
      <query mdx="[Measures].[Sum of NP]">
        <tpls c="1">
          <tpl fld="2" item="5"/>
        </tpls>
      </query>
      <query mdx="[Measures].[Sum of Admin]">
        <tpls c="1">
          <tpl fld="2" item="6"/>
        </tpls>
      </query>
      <query mdx="[Measures].[Sum of Direct OH]">
        <tpls c="1">
          <tpl fld="2" item="7"/>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90.785679050925" backgroundQuery="1" createdVersion="3" refreshedVersion="8" minRefreshableVersion="3" recordCount="0" supportSubquery="1" supportAdvancedDrill="1" xr:uid="{F16D3C64-3DA5-40EB-A148-1547AD6D4DF8}">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Qry_salesdata].[Sales Person]" caption="Sales Person" attribute="1" defaultMemberUniqueName="[Qry_salesdata].[Sales Person].[All]" allUniqueName="[Qry_salesdata].[Sales Person].[All]" dimensionUniqueName="[Qry_salesdata]" displayFolder="" count="0" memberValueDatatype="130" unbalanced="0"/>
    <cacheHierarchy uniqueName="[Qry_salesdata].[Region]" caption="Region" attribute="1" defaultMemberUniqueName="[Qry_salesdata].[Region].[All]" allUniqueName="[Qry_salesdata].[Region].[All]" dimensionUniqueName="[Qry_salesdata]" displayFolder="" count="0" memberValueDatatype="130" unbalanced="0"/>
    <cacheHierarchy uniqueName="[Qry_salesdata].[Date]" caption="Date" attribute="1" time="1" defaultMemberUniqueName="[Qry_salesdata].[Date].[All]" allUniqueName="[Qry_salesdata].[Date].[All]" dimensionUniqueName="[Qry_salesdata]" displayFolder="" count="0" memberValueDatatype="7" unbalanced="0"/>
    <cacheHierarchy uniqueName="[Qry_salesdata].[Product]" caption="Product" attribute="1" defaultMemberUniqueName="[Qry_salesdata].[Product].[All]" allUniqueName="[Qry_salesdata].[Product].[All]" dimensionUniqueName="[Qry_salesdata]" displayFolder="" count="0" memberValueDatatype="130" unbalanced="0"/>
    <cacheHierarchy uniqueName="[Qry_salesdata].[Sales Price]" caption="Sales Price" attribute="1" defaultMemberUniqueName="[Qry_salesdata].[Sales Price].[All]" allUniqueName="[Qry_salesdata].[Sales Price].[All]" dimensionUniqueName="[Qry_salesdata]" displayFolder="" count="0" memberValueDatatype="5" unbalanced="0"/>
    <cacheHierarchy uniqueName="[Qry_salesdata].[Units]" caption="Units" attribute="1" defaultMemberUniqueName="[Qry_salesdata].[Units].[All]" allUniqueName="[Qry_salesdata].[Units].[All]" dimensionUniqueName="[Qry_salesdata]" displayFolder="" count="0" memberValueDatatype="5" unbalanced="0"/>
    <cacheHierarchy uniqueName="[Qry_salesdata].[Oth Income]" caption="Oth Income" attribute="1" defaultMemberUniqueName="[Qry_salesdata].[Oth Income].[All]" allUniqueName="[Qry_salesdata].[Oth Income].[All]" dimensionUniqueName="[Qry_salesdata]" displayFolder="" count="0" memberValueDatatype="5" unbalanced="0"/>
    <cacheHierarchy uniqueName="[Qry_salesdata].[COGS]" caption="COGS" attribute="1" defaultMemberUniqueName="[Qry_salesdata].[COGS].[All]" allUniqueName="[Qry_salesdata].[COGS].[All]" dimensionUniqueName="[Qry_salesdata]" displayFolder="" count="0" memberValueDatatype="5" unbalanced="0"/>
    <cacheHierarchy uniqueName="[Qry_salesdata].[Direct OH]" caption="Direct OH" attribute="1" defaultMemberUniqueName="[Qry_salesdata].[Direct OH].[All]" allUniqueName="[Qry_salesdata].[Direct OH].[All]" dimensionUniqueName="[Qry_salesdata]" displayFolder="" count="0" memberValueDatatype="5" unbalanced="0"/>
    <cacheHierarchy uniqueName="[Qry_salesdata].[Finance]" caption="Finance" attribute="1" defaultMemberUniqueName="[Qry_salesdata].[Finance].[All]" allUniqueName="[Qry_salesdata].[Finance].[All]" dimensionUniqueName="[Qry_salesdata]" displayFolder="" count="0" memberValueDatatype="5" unbalanced="0"/>
    <cacheHierarchy uniqueName="[Qry_salesdata].[Admin]" caption="Admin" attribute="1" defaultMemberUniqueName="[Qry_salesdata].[Admin].[All]" allUniqueName="[Qry_salesdata].[Admin].[All]" dimensionUniqueName="[Qry_salesdata]" displayFolder="" count="0" memberValueDatatype="5" unbalanced="0"/>
    <cacheHierarchy uniqueName="[Qry_salesdata].[Add Column2]" caption="Add Column2" attribute="1" defaultMemberUniqueName="[Qry_salesdata].[Add Column2].[All]" allUniqueName="[Qry_salesdata].[Add Column2].[All]" dimensionUniqueName="[Qry_salesdata]" displayFolder="" count="0" memberValueDatatype="20" unbalanced="0"/>
    <cacheHierarchy uniqueName="[Qry_salesdata].[Sales]" caption="Sales" attribute="1" defaultMemberUniqueName="[Qry_salesdata].[Sales].[All]" allUniqueName="[Qry_salesdata].[Sales].[All]" dimensionUniqueName="[Qry_salesdata]" displayFolder="" count="0" memberValueDatatype="5" unbalanced="0"/>
    <cacheHierarchy uniqueName="[Qry_salesdata].[GP]" caption="GP" attribute="1" defaultMemberUniqueName="[Qry_salesdata].[GP].[All]" allUniqueName="[Qry_salesdata].[GP].[All]" dimensionUniqueName="[Qry_salesdata]" displayFolder="" count="0" memberValueDatatype="5" unbalanced="0"/>
    <cacheHierarchy uniqueName="[Qry_salesdata].[NP]" caption="NP" attribute="1" defaultMemberUniqueName="[Qry_salesdata].[NP].[All]" allUniqueName="[Qry_salesdata].[NP].[All]" dimensionUniqueName="[Qry_salesdata]" displayFolder="" count="0" memberValueDatatype="5" unbalanced="0"/>
    <cacheHierarchy uniqueName="[Tab_Salesperson].[SL no]" caption="SL no" attribute="1" defaultMemberUniqueName="[Tab_Salesperson].[SL no].[All]" allUniqueName="[Tab_Salesperson].[SL no].[All]" dimensionUniqueName="[Tab_Salesperson]" displayFolder="" count="0" memberValueDatatype="20" unbalanced="0"/>
    <cacheHierarchy uniqueName="[Tab_Salesperson].[Name]" caption="Name" attribute="1" defaultMemberUniqueName="[Tab_Salesperson].[Name].[All]" allUniqueName="[Tab_Salesperson].[Name].[All]" dimensionUniqueName="[Tab_Salesperson]" displayFolder="" count="2" memberValueDatatype="130" unbalanced="0"/>
    <cacheHierarchy uniqueName="[Tab_Salesperson].[Region]" caption="Region" attribute="1" defaultMemberUniqueName="[Tab_Salesperson].[Region].[All]" allUniqueName="[Tab_Salesperson].[Region].[All]" dimensionUniqueName="[Tab_Salesperson]" displayFolder="" count="0" memberValueDatatype="130" unbalanced="0"/>
    <cacheHierarchy uniqueName="[Tbl_Product].[Sl No]" caption="Sl No" attribute="1" defaultMemberUniqueName="[Tbl_Product].[Sl No].[All]" allUniqueName="[Tbl_Product].[Sl No].[All]" dimensionUniqueName="[Tbl_Product]" displayFolder="" count="0" memberValueDatatype="20" unbalanced="0"/>
    <cacheHierarchy uniqueName="[Tbl_Product].[Product]" caption="Product" attribute="1" defaultMemberUniqueName="[Tbl_Product].[Product].[All]" allUniqueName="[Tbl_Product].[Product].[All]" dimensionUniqueName="[Tbl_Product]" displayFolder="" count="2" memberValueDatatype="130" unbalanced="0"/>
    <cacheHierarchy uniqueName="[Tbl_Region].[Sl No]" caption="Sl No" attribute="1" defaultMemberUniqueName="[Tbl_Region].[Sl No].[All]" allUniqueName="[Tbl_Region].[Sl No].[All]" dimensionUniqueName="[Tbl_Region]" displayFolder="" count="0" memberValueDatatype="20" unbalanced="0"/>
    <cacheHierarchy uniqueName="[Tbl_Region].[Region]" caption="Region" attribute="1" defaultMemberUniqueName="[Tbl_Region].[Region].[All]" allUniqueName="[Tbl_Region].[Region].[All]" dimensionUniqueName="[Tbl_Region]" displayFolder="" count="2" memberValueDatatype="130" unbalanced="0"/>
    <cacheHierarchy uniqueName="[Measures].[Slaes]" caption="Slaes" measure="1" displayFolder="" measureGroup="Qry_salesdata" count="0"/>
    <cacheHierarchy uniqueName="[Measures].[TOth Income]" caption="TOth Income" measure="1" displayFolder="" measureGroup="Qry_salesdata" count="0"/>
    <cacheHierarchy uniqueName="[Measures].[TCOGS]" caption="TCOGS" measure="1" displayFolder="" measureGroup="Qry_salesdata" count="0"/>
    <cacheHierarchy uniqueName="[Measures].[Copy of TCOGS]" caption="Copy of TCOGS" measure="1" displayFolder="" measureGroup="Qry_salesdata" count="0"/>
    <cacheHierarchy uniqueName="[Measures].[__XL_Count Qry_salesdata]" caption="__XL_Count Qry_salesdata" measure="1" displayFolder="" measureGroup="Qry_salesdata" count="0" hidden="1"/>
    <cacheHierarchy uniqueName="[Measures].[__XL_Count Tab_Salesperson]" caption="__XL_Count Tab_Salesperson" measure="1" displayFolder="" measureGroup="Tab_Salesperson" count="0" hidden="1"/>
    <cacheHierarchy uniqueName="[Measures].[__XL_Count Tbl_Product]" caption="__XL_Count Tbl_Product" measure="1" displayFolder="" measureGroup="Tbl_Product" count="0" hidden="1"/>
    <cacheHierarchy uniqueName="[Measures].[__XL_Count Tbl_Region]" caption="__XL_Count Tbl_Region" measure="1" displayFolder="" measureGroup="Tbl_Regio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Qry_salesdata" count="0" hidden="1">
      <extLst>
        <ext xmlns:x15="http://schemas.microsoft.com/office/spreadsheetml/2010/11/main" uri="{B97F6D7D-B522-45F9-BDA1-12C45D357490}">
          <x15:cacheHierarchy aggregatedColumn="20"/>
        </ext>
      </extLst>
    </cacheHierarchy>
    <cacheHierarchy uniqueName="[Measures].[Sum of Oth Income]" caption="Sum of Oth Income" measure="1" displayFolder="" measureGroup="Qry_salesdata"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Qry_salesdata" count="0" hidden="1">
      <extLst>
        <ext xmlns:x15="http://schemas.microsoft.com/office/spreadsheetml/2010/11/main" uri="{B97F6D7D-B522-45F9-BDA1-12C45D357490}">
          <x15:cacheHierarchy aggregatedColumn="15"/>
        </ext>
      </extLst>
    </cacheHierarchy>
    <cacheHierarchy uniqueName="[Measures].[Sum of GP]" caption="Sum of GP" measure="1" displayFolder="" measureGroup="Qry_salesdata" count="0" hidden="1">
      <extLst>
        <ext xmlns:x15="http://schemas.microsoft.com/office/spreadsheetml/2010/11/main" uri="{B97F6D7D-B522-45F9-BDA1-12C45D357490}">
          <x15:cacheHierarchy aggregatedColumn="21"/>
        </ext>
      </extLst>
    </cacheHierarchy>
    <cacheHierarchy uniqueName="[Measures].[Sum of Direct OH]" caption="Sum of Direct OH" measure="1" displayFolder="" measureGroup="Qry_salesdata" count="0" hidden="1">
      <extLst>
        <ext xmlns:x15="http://schemas.microsoft.com/office/spreadsheetml/2010/11/main" uri="{B97F6D7D-B522-45F9-BDA1-12C45D357490}">
          <x15:cacheHierarchy aggregatedColumn="16"/>
        </ext>
      </extLst>
    </cacheHierarchy>
    <cacheHierarchy uniqueName="[Measures].[Sum of Finance]" caption="Sum of Finance" measure="1" displayFolder="" measureGroup="Qry_salesdata" count="0" hidden="1">
      <extLst>
        <ext xmlns:x15="http://schemas.microsoft.com/office/spreadsheetml/2010/11/main" uri="{B97F6D7D-B522-45F9-BDA1-12C45D357490}">
          <x15:cacheHierarchy aggregatedColumn="17"/>
        </ext>
      </extLst>
    </cacheHierarchy>
    <cacheHierarchy uniqueName="[Measures].[Sum of Admin]" caption="Sum of Admin" measure="1" displayFolder="" measureGroup="Qry_salesdata" count="0" hidden="1">
      <extLst>
        <ext xmlns:x15="http://schemas.microsoft.com/office/spreadsheetml/2010/11/main" uri="{B97F6D7D-B522-45F9-BDA1-12C45D357490}">
          <x15:cacheHierarchy aggregatedColumn="18"/>
        </ext>
      </extLst>
    </cacheHierarchy>
    <cacheHierarchy uniqueName="[Measures].[Sum of NP]" caption="Sum of NP" measure="1" displayFolder="" measureGroup="Qry_salesdata"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921107421"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90.786146412036" backgroundQuery="1" createdVersion="6" refreshedVersion="8" minRefreshableVersion="3" recordCount="0" supportSubquery="1" supportAdvancedDrill="1" xr:uid="{B49F0345-E5FF-49E7-8495-AD63AAB271FC}">
  <cacheSource type="external" connectionId="3">
    <extLst>
      <ext xmlns:x14="http://schemas.microsoft.com/office/spreadsheetml/2009/9/main" uri="{F057638F-6D5F-4e77-A914-E7F072B9BCA8}">
        <x14:sourceConnection name="ThisWorkbookDataModel"/>
      </ext>
    </extLst>
  </cacheSource>
  <cacheFields count="5">
    <cacheField name="[Tbl_Product].[Product].[Product]" caption="Product" numFmtId="0" hierarchy="27" level="1">
      <sharedItems count="5">
        <s v="ABC"/>
        <s v="CCX"/>
        <s v="DCD"/>
        <s v="FFA"/>
        <s v="XYZ"/>
      </sharedItems>
    </cacheField>
    <cacheField name="[Measures].[Sum of NP]" caption="Sum of NP"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Qry_salesdata].[Sales Person]" caption="Sales Person" attribute="1" defaultMemberUniqueName="[Qry_salesdata].[Sales Person].[All]" allUniqueName="[Qry_salesdata].[Sales Person].[All]" dimensionUniqueName="[Qry_salesdata]" displayFolder="" count="0" memberValueDatatype="130" unbalanced="0"/>
    <cacheHierarchy uniqueName="[Qry_salesdata].[Region]" caption="Region" attribute="1" defaultMemberUniqueName="[Qry_salesdata].[Region].[All]" allUniqueName="[Qry_salesdata].[Region].[All]" dimensionUniqueName="[Qry_salesdata]" displayFolder="" count="0" memberValueDatatype="130" unbalanced="0"/>
    <cacheHierarchy uniqueName="[Qry_salesdata].[Date]" caption="Date" attribute="1" time="1" defaultMemberUniqueName="[Qry_salesdata].[Date].[All]" allUniqueName="[Qry_salesdata].[Date].[All]" dimensionUniqueName="[Qry_salesdata]" displayFolder="" count="0" memberValueDatatype="7" unbalanced="0"/>
    <cacheHierarchy uniqueName="[Qry_salesdata].[Product]" caption="Product" attribute="1" defaultMemberUniqueName="[Qry_salesdata].[Product].[All]" allUniqueName="[Qry_salesdata].[Product].[All]" dimensionUniqueName="[Qry_salesdata]" displayFolder="" count="0" memberValueDatatype="130" unbalanced="0"/>
    <cacheHierarchy uniqueName="[Qry_salesdata].[Sales Price]" caption="Sales Price" attribute="1" defaultMemberUniqueName="[Qry_salesdata].[Sales Price].[All]" allUniqueName="[Qry_salesdata].[Sales Price].[All]" dimensionUniqueName="[Qry_salesdata]" displayFolder="" count="0" memberValueDatatype="5" unbalanced="0"/>
    <cacheHierarchy uniqueName="[Qry_salesdata].[Units]" caption="Units" attribute="1" defaultMemberUniqueName="[Qry_salesdata].[Units].[All]" allUniqueName="[Qry_salesdata].[Units].[All]" dimensionUniqueName="[Qry_salesdata]" displayFolder="" count="0" memberValueDatatype="5" unbalanced="0"/>
    <cacheHierarchy uniqueName="[Qry_salesdata].[Oth Income]" caption="Oth Income" attribute="1" defaultMemberUniqueName="[Qry_salesdata].[Oth Income].[All]" allUniqueName="[Qry_salesdata].[Oth Income].[All]" dimensionUniqueName="[Qry_salesdata]" displayFolder="" count="0" memberValueDatatype="5" unbalanced="0"/>
    <cacheHierarchy uniqueName="[Qry_salesdata].[COGS]" caption="COGS" attribute="1" defaultMemberUniqueName="[Qry_salesdata].[COGS].[All]" allUniqueName="[Qry_salesdata].[COGS].[All]" dimensionUniqueName="[Qry_salesdata]" displayFolder="" count="0" memberValueDatatype="5" unbalanced="0"/>
    <cacheHierarchy uniqueName="[Qry_salesdata].[Direct OH]" caption="Direct OH" attribute="1" defaultMemberUniqueName="[Qry_salesdata].[Direct OH].[All]" allUniqueName="[Qry_salesdata].[Direct OH].[All]" dimensionUniqueName="[Qry_salesdata]" displayFolder="" count="0" memberValueDatatype="5" unbalanced="0"/>
    <cacheHierarchy uniqueName="[Qry_salesdata].[Finance]" caption="Finance" attribute="1" defaultMemberUniqueName="[Qry_salesdata].[Finance].[All]" allUniqueName="[Qry_salesdata].[Finance].[All]" dimensionUniqueName="[Qry_salesdata]" displayFolder="" count="0" memberValueDatatype="5" unbalanced="0"/>
    <cacheHierarchy uniqueName="[Qry_salesdata].[Admin]" caption="Admin" attribute="1" defaultMemberUniqueName="[Qry_salesdata].[Admin].[All]" allUniqueName="[Qry_salesdata].[Admin].[All]" dimensionUniqueName="[Qry_salesdata]" displayFolder="" count="0" memberValueDatatype="5" unbalanced="0"/>
    <cacheHierarchy uniqueName="[Qry_salesdata].[Add Column2]" caption="Add Column2" attribute="1" defaultMemberUniqueName="[Qry_salesdata].[Add Column2].[All]" allUniqueName="[Qry_salesdata].[Add Column2].[All]" dimensionUniqueName="[Qry_salesdata]" displayFolder="" count="0" memberValueDatatype="20" unbalanced="0"/>
    <cacheHierarchy uniqueName="[Qry_salesdata].[Sales]" caption="Sales" attribute="1" defaultMemberUniqueName="[Qry_salesdata].[Sales].[All]" allUniqueName="[Qry_salesdata].[Sales].[All]" dimensionUniqueName="[Qry_salesdata]" displayFolder="" count="0" memberValueDatatype="5" unbalanced="0"/>
    <cacheHierarchy uniqueName="[Qry_salesdata].[GP]" caption="GP" attribute="1" defaultMemberUniqueName="[Qry_salesdata].[GP].[All]" allUniqueName="[Qry_salesdata].[GP].[All]" dimensionUniqueName="[Qry_salesdata]" displayFolder="" count="0" memberValueDatatype="5" unbalanced="0"/>
    <cacheHierarchy uniqueName="[Qry_salesdata].[NP]" caption="NP" attribute="1" defaultMemberUniqueName="[Qry_salesdata].[NP].[All]" allUniqueName="[Qry_salesdata].[NP].[All]" dimensionUniqueName="[Qry_salesdata]" displayFolder="" count="0" memberValueDatatype="5" unbalanced="0"/>
    <cacheHierarchy uniqueName="[Tab_Salesperson].[SL no]" caption="SL no" attribute="1" defaultMemberUniqueName="[Tab_Salesperson].[SL no].[All]" allUniqueName="[Tab_Salesperson].[SL no].[All]" dimensionUniqueName="[Tab_Salesperson]" displayFolder="" count="0" memberValueDatatype="20" unbalanced="0"/>
    <cacheHierarchy uniqueName="[Tab_Salesperson].[Name]" caption="Name" attribute="1" defaultMemberUniqueName="[Tab_Salesperson].[Name].[All]" allUniqueName="[Tab_Salesperson].[Name].[All]" dimensionUniqueName="[Tab_Salesperson]" displayFolder="" count="2" memberValueDatatype="130" unbalanced="0"/>
    <cacheHierarchy uniqueName="[Tab_Salesperson].[Region]" caption="Region" attribute="1" defaultMemberUniqueName="[Tab_Salesperson].[Region].[All]" allUniqueName="[Tab_Salesperson].[Region].[All]" dimensionUniqueName="[Tab_Salesperson]" displayFolder="" count="0" memberValueDatatype="130" unbalanced="0"/>
    <cacheHierarchy uniqueName="[Tbl_Product].[Sl No]" caption="Sl No" attribute="1" defaultMemberUniqueName="[Tbl_Product].[Sl No].[All]" allUniqueName="[Tbl_Product].[Sl No].[All]" dimensionUniqueName="[Tbl_Product]" displayFolder="" count="0" memberValueDatatype="20" unbalanced="0"/>
    <cacheHierarchy uniqueName="[Tbl_Product].[Product]" caption="Product" attribute="1" defaultMemberUniqueName="[Tbl_Product].[Product].[All]" allUniqueName="[Tbl_Product].[Product].[All]" dimensionUniqueName="[Tbl_Product]" displayFolder="" count="2" memberValueDatatype="130" unbalanced="0">
      <fieldsUsage count="2">
        <fieldUsage x="-1"/>
        <fieldUsage x="0"/>
      </fieldsUsage>
    </cacheHierarchy>
    <cacheHierarchy uniqueName="[Tbl_Region].[Sl No]" caption="Sl No" attribute="1" defaultMemberUniqueName="[Tbl_Region].[Sl No].[All]" allUniqueName="[Tbl_Region].[Sl No].[All]" dimensionUniqueName="[Tbl_Region]" displayFolder="" count="0" memberValueDatatype="20" unbalanced="0"/>
    <cacheHierarchy uniqueName="[Tbl_Region].[Region]" caption="Region" attribute="1" defaultMemberUniqueName="[Tbl_Region].[Region].[All]" allUniqueName="[Tbl_Region].[Region].[All]" dimensionUniqueName="[Tbl_Region]" displayFolder="" count="2" memberValueDatatype="130" unbalanced="0"/>
    <cacheHierarchy uniqueName="[Measures].[Slaes]" caption="Slaes" measure="1" displayFolder="" measureGroup="Qry_salesdata" count="0"/>
    <cacheHierarchy uniqueName="[Measures].[TOth Income]" caption="TOth Income" measure="1" displayFolder="" measureGroup="Qry_salesdata" count="0"/>
    <cacheHierarchy uniqueName="[Measures].[TCOGS]" caption="TCOGS" measure="1" displayFolder="" measureGroup="Qry_salesdata" count="0"/>
    <cacheHierarchy uniqueName="[Measures].[Copy of TCOGS]" caption="Copy of TCOGS" measure="1" displayFolder="" measureGroup="Qry_salesdata" count="0"/>
    <cacheHierarchy uniqueName="[Measures].[__XL_Count Qry_salesdata]" caption="__XL_Count Qry_salesdata" measure="1" displayFolder="" measureGroup="Qry_salesdata" count="0" hidden="1"/>
    <cacheHierarchy uniqueName="[Measures].[__XL_Count Tab_Salesperson]" caption="__XL_Count Tab_Salesperson" measure="1" displayFolder="" measureGroup="Tab_Salesperson" count="0" hidden="1"/>
    <cacheHierarchy uniqueName="[Measures].[__XL_Count Tbl_Product]" caption="__XL_Count Tbl_Product" measure="1" displayFolder="" measureGroup="Tbl_Product" count="0" hidden="1"/>
    <cacheHierarchy uniqueName="[Measures].[__XL_Count Tbl_Region]" caption="__XL_Count Tbl_Region" measure="1" displayFolder="" measureGroup="Tbl_Regio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Qry_salesdata" count="0" hidden="1">
      <extLst>
        <ext xmlns:x15="http://schemas.microsoft.com/office/spreadsheetml/2010/11/main" uri="{B97F6D7D-B522-45F9-BDA1-12C45D357490}">
          <x15:cacheHierarchy aggregatedColumn="20"/>
        </ext>
      </extLst>
    </cacheHierarchy>
    <cacheHierarchy uniqueName="[Measures].[Sum of Oth Income]" caption="Sum of Oth Income" measure="1" displayFolder="" measureGroup="Qry_salesdata"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Qry_salesdata" count="0" hidden="1">
      <extLst>
        <ext xmlns:x15="http://schemas.microsoft.com/office/spreadsheetml/2010/11/main" uri="{B97F6D7D-B522-45F9-BDA1-12C45D357490}">
          <x15:cacheHierarchy aggregatedColumn="15"/>
        </ext>
      </extLst>
    </cacheHierarchy>
    <cacheHierarchy uniqueName="[Measures].[Sum of GP]" caption="Sum of GP" measure="1" displayFolder="" measureGroup="Qry_salesdata" count="0" hidden="1">
      <extLst>
        <ext xmlns:x15="http://schemas.microsoft.com/office/spreadsheetml/2010/11/main" uri="{B97F6D7D-B522-45F9-BDA1-12C45D357490}">
          <x15:cacheHierarchy aggregatedColumn="21"/>
        </ext>
      </extLst>
    </cacheHierarchy>
    <cacheHierarchy uniqueName="[Measures].[Sum of Direct OH]" caption="Sum of Direct OH" measure="1" displayFolder="" measureGroup="Qry_salesdata" count="0" hidden="1">
      <extLst>
        <ext xmlns:x15="http://schemas.microsoft.com/office/spreadsheetml/2010/11/main" uri="{B97F6D7D-B522-45F9-BDA1-12C45D357490}">
          <x15:cacheHierarchy aggregatedColumn="16"/>
        </ext>
      </extLst>
    </cacheHierarchy>
    <cacheHierarchy uniqueName="[Measures].[Sum of Finance]" caption="Sum of Finance" measure="1" displayFolder="" measureGroup="Qry_salesdata" count="0" hidden="1">
      <extLst>
        <ext xmlns:x15="http://schemas.microsoft.com/office/spreadsheetml/2010/11/main" uri="{B97F6D7D-B522-45F9-BDA1-12C45D357490}">
          <x15:cacheHierarchy aggregatedColumn="17"/>
        </ext>
      </extLst>
    </cacheHierarchy>
    <cacheHierarchy uniqueName="[Measures].[Sum of Admin]" caption="Sum of Admin" measure="1" displayFolder="" measureGroup="Qry_salesdata" count="0" hidden="1">
      <extLst>
        <ext xmlns:x15="http://schemas.microsoft.com/office/spreadsheetml/2010/11/main" uri="{B97F6D7D-B522-45F9-BDA1-12C45D357490}">
          <x15:cacheHierarchy aggregatedColumn="18"/>
        </ext>
      </extLst>
    </cacheHierarchy>
    <cacheHierarchy uniqueName="[Measures].[Sum of NP]" caption="Sum of NP" measure="1" displayFolder="" measureGroup="Qry_salesdata"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6">
    <dimension name="Calendar" uniqueName="[Calendar]" caption="Calendar"/>
    <dimension measure="1" name="Measures" uniqueName="[Measures]" caption="Measures"/>
    <dimension name="Qry_salesdata" uniqueName="[Qry_salesdata]" caption="Qry_salesdata"/>
    <dimension name="Tab_Salesperson" uniqueName="[Tab_Salesperson]" caption="Tab_Salesperson"/>
    <dimension name="Tbl_Product" uniqueName="[Tbl_Product]" caption="Tbl_Product"/>
    <dimension name="Tbl_Region" uniqueName="[Tbl_Region]" caption="Tbl_Region"/>
  </dimensions>
  <measureGroups count="5">
    <measureGroup name="Calendar" caption="Calendar"/>
    <measureGroup name="Qry_salesdata" caption="Qry_salesdata"/>
    <measureGroup name="Tab_Salesperson" caption="Tab_Salesperson"/>
    <measureGroup name="Tbl_Product" caption="Tbl_Product"/>
    <measureGroup name="Tbl_Region" caption="Tbl_Region"/>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pivotCacheId="11004111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90.786146990744" backgroundQuery="1" createdVersion="6" refreshedVersion="8" minRefreshableVersion="3" recordCount="0" supportSubquery="1" supportAdvancedDrill="1" xr:uid="{8AFE41BB-45D4-4BC5-B05D-734BFFFC90FC}">
  <cacheSource type="external" connectionId="3">
    <extLst>
      <ext xmlns:x14="http://schemas.microsoft.com/office/spreadsheetml/2009/9/main" uri="{F057638F-6D5F-4e77-A914-E7F072B9BCA8}">
        <x14:sourceConnection name="ThisWorkbookDataModel"/>
      </ext>
    </extLst>
  </cacheSource>
  <cacheFields count="5">
    <cacheField name="[Measures].[Sum of Sales]" caption="Sum of Sales" numFmtId="0" hierarchy="40" level="32767"/>
    <cacheField name="[Tab_Salesperson].[Name].[Name]" caption="Name" numFmtId="0" hierarchy="24" level="1">
      <sharedItems count="5">
        <s v="Faisal"/>
        <s v="Jay"/>
        <s v="Manu"/>
        <s v="Paul"/>
        <s v="Raj"/>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Qry_salesdata].[Sales Person]" caption="Sales Person" attribute="1" defaultMemberUniqueName="[Qry_salesdata].[Sales Person].[All]" allUniqueName="[Qry_salesdata].[Sales Person].[All]" dimensionUniqueName="[Qry_salesdata]" displayFolder="" count="0" memberValueDatatype="130" unbalanced="0"/>
    <cacheHierarchy uniqueName="[Qry_salesdata].[Region]" caption="Region" attribute="1" defaultMemberUniqueName="[Qry_salesdata].[Region].[All]" allUniqueName="[Qry_salesdata].[Region].[All]" dimensionUniqueName="[Qry_salesdata]" displayFolder="" count="0" memberValueDatatype="130" unbalanced="0"/>
    <cacheHierarchy uniqueName="[Qry_salesdata].[Date]" caption="Date" attribute="1" time="1" defaultMemberUniqueName="[Qry_salesdata].[Date].[All]" allUniqueName="[Qry_salesdata].[Date].[All]" dimensionUniqueName="[Qry_salesdata]" displayFolder="" count="0" memberValueDatatype="7" unbalanced="0"/>
    <cacheHierarchy uniqueName="[Qry_salesdata].[Product]" caption="Product" attribute="1" defaultMemberUniqueName="[Qry_salesdata].[Product].[All]" allUniqueName="[Qry_salesdata].[Product].[All]" dimensionUniqueName="[Qry_salesdata]" displayFolder="" count="0" memberValueDatatype="130" unbalanced="0"/>
    <cacheHierarchy uniqueName="[Qry_salesdata].[Sales Price]" caption="Sales Price" attribute="1" defaultMemberUniqueName="[Qry_salesdata].[Sales Price].[All]" allUniqueName="[Qry_salesdata].[Sales Price].[All]" dimensionUniqueName="[Qry_salesdata]" displayFolder="" count="0" memberValueDatatype="5" unbalanced="0"/>
    <cacheHierarchy uniqueName="[Qry_salesdata].[Units]" caption="Units" attribute="1" defaultMemberUniqueName="[Qry_salesdata].[Units].[All]" allUniqueName="[Qry_salesdata].[Units].[All]" dimensionUniqueName="[Qry_salesdata]" displayFolder="" count="0" memberValueDatatype="5" unbalanced="0"/>
    <cacheHierarchy uniqueName="[Qry_salesdata].[Oth Income]" caption="Oth Income" attribute="1" defaultMemberUniqueName="[Qry_salesdata].[Oth Income].[All]" allUniqueName="[Qry_salesdata].[Oth Income].[All]" dimensionUniqueName="[Qry_salesdata]" displayFolder="" count="0" memberValueDatatype="5" unbalanced="0"/>
    <cacheHierarchy uniqueName="[Qry_salesdata].[COGS]" caption="COGS" attribute="1" defaultMemberUniqueName="[Qry_salesdata].[COGS].[All]" allUniqueName="[Qry_salesdata].[COGS].[All]" dimensionUniqueName="[Qry_salesdata]" displayFolder="" count="0" memberValueDatatype="5" unbalanced="0"/>
    <cacheHierarchy uniqueName="[Qry_salesdata].[Direct OH]" caption="Direct OH" attribute="1" defaultMemberUniqueName="[Qry_salesdata].[Direct OH].[All]" allUniqueName="[Qry_salesdata].[Direct OH].[All]" dimensionUniqueName="[Qry_salesdata]" displayFolder="" count="0" memberValueDatatype="5" unbalanced="0"/>
    <cacheHierarchy uniqueName="[Qry_salesdata].[Finance]" caption="Finance" attribute="1" defaultMemberUniqueName="[Qry_salesdata].[Finance].[All]" allUniqueName="[Qry_salesdata].[Finance].[All]" dimensionUniqueName="[Qry_salesdata]" displayFolder="" count="0" memberValueDatatype="5" unbalanced="0"/>
    <cacheHierarchy uniqueName="[Qry_salesdata].[Admin]" caption="Admin" attribute="1" defaultMemberUniqueName="[Qry_salesdata].[Admin].[All]" allUniqueName="[Qry_salesdata].[Admin].[All]" dimensionUniqueName="[Qry_salesdata]" displayFolder="" count="0" memberValueDatatype="5" unbalanced="0"/>
    <cacheHierarchy uniqueName="[Qry_salesdata].[Add Column2]" caption="Add Column2" attribute="1" defaultMemberUniqueName="[Qry_salesdata].[Add Column2].[All]" allUniqueName="[Qry_salesdata].[Add Column2].[All]" dimensionUniqueName="[Qry_salesdata]" displayFolder="" count="0" memberValueDatatype="20" unbalanced="0"/>
    <cacheHierarchy uniqueName="[Qry_salesdata].[Sales]" caption="Sales" attribute="1" defaultMemberUniqueName="[Qry_salesdata].[Sales].[All]" allUniqueName="[Qry_salesdata].[Sales].[All]" dimensionUniqueName="[Qry_salesdata]" displayFolder="" count="0" memberValueDatatype="5" unbalanced="0"/>
    <cacheHierarchy uniqueName="[Qry_salesdata].[GP]" caption="GP" attribute="1" defaultMemberUniqueName="[Qry_salesdata].[GP].[All]" allUniqueName="[Qry_salesdata].[GP].[All]" dimensionUniqueName="[Qry_salesdata]" displayFolder="" count="0" memberValueDatatype="5" unbalanced="0"/>
    <cacheHierarchy uniqueName="[Qry_salesdata].[NP]" caption="NP" attribute="1" defaultMemberUniqueName="[Qry_salesdata].[NP].[All]" allUniqueName="[Qry_salesdata].[NP].[All]" dimensionUniqueName="[Qry_salesdata]" displayFolder="" count="0" memberValueDatatype="5" unbalanced="0"/>
    <cacheHierarchy uniqueName="[Tab_Salesperson].[SL no]" caption="SL no" attribute="1" defaultMemberUniqueName="[Tab_Salesperson].[SL no].[All]" allUniqueName="[Tab_Salesperson].[SL no].[All]" dimensionUniqueName="[Tab_Salesperson]" displayFolder="" count="0" memberValueDatatype="20" unbalanced="0"/>
    <cacheHierarchy uniqueName="[Tab_Salesperson].[Name]" caption="Name" attribute="1" defaultMemberUniqueName="[Tab_Salesperson].[Name].[All]" allUniqueName="[Tab_Salesperson].[Name].[All]" dimensionUniqueName="[Tab_Salesperson]" displayFolder="" count="2" memberValueDatatype="130" unbalanced="0">
      <fieldsUsage count="2">
        <fieldUsage x="-1"/>
        <fieldUsage x="1"/>
      </fieldsUsage>
    </cacheHierarchy>
    <cacheHierarchy uniqueName="[Tab_Salesperson].[Region]" caption="Region" attribute="1" defaultMemberUniqueName="[Tab_Salesperson].[Region].[All]" allUniqueName="[Tab_Salesperson].[Region].[All]" dimensionUniqueName="[Tab_Salesperson]" displayFolder="" count="0" memberValueDatatype="130" unbalanced="0"/>
    <cacheHierarchy uniqueName="[Tbl_Product].[Sl No]" caption="Sl No" attribute="1" defaultMemberUniqueName="[Tbl_Product].[Sl No].[All]" allUniqueName="[Tbl_Product].[Sl No].[All]" dimensionUniqueName="[Tbl_Product]" displayFolder="" count="0" memberValueDatatype="20" unbalanced="0"/>
    <cacheHierarchy uniqueName="[Tbl_Product].[Product]" caption="Product" attribute="1" defaultMemberUniqueName="[Tbl_Product].[Product].[All]" allUniqueName="[Tbl_Product].[Product].[All]" dimensionUniqueName="[Tbl_Product]" displayFolder="" count="2" memberValueDatatype="130" unbalanced="0"/>
    <cacheHierarchy uniqueName="[Tbl_Region].[Sl No]" caption="Sl No" attribute="1" defaultMemberUniqueName="[Tbl_Region].[Sl No].[All]" allUniqueName="[Tbl_Region].[Sl No].[All]" dimensionUniqueName="[Tbl_Region]" displayFolder="" count="0" memberValueDatatype="20" unbalanced="0"/>
    <cacheHierarchy uniqueName="[Tbl_Region].[Region]" caption="Region" attribute="1" defaultMemberUniqueName="[Tbl_Region].[Region].[All]" allUniqueName="[Tbl_Region].[Region].[All]" dimensionUniqueName="[Tbl_Region]" displayFolder="" count="2" memberValueDatatype="130" unbalanced="0"/>
    <cacheHierarchy uniqueName="[Measures].[Slaes]" caption="Slaes" measure="1" displayFolder="" measureGroup="Qry_salesdata" count="0"/>
    <cacheHierarchy uniqueName="[Measures].[TOth Income]" caption="TOth Income" measure="1" displayFolder="" measureGroup="Qry_salesdata" count="0"/>
    <cacheHierarchy uniqueName="[Measures].[TCOGS]" caption="TCOGS" measure="1" displayFolder="" measureGroup="Qry_salesdata" count="0"/>
    <cacheHierarchy uniqueName="[Measures].[Copy of TCOGS]" caption="Copy of TCOGS" measure="1" displayFolder="" measureGroup="Qry_salesdata" count="0"/>
    <cacheHierarchy uniqueName="[Measures].[__XL_Count Qry_salesdata]" caption="__XL_Count Qry_salesdata" measure="1" displayFolder="" measureGroup="Qry_salesdata" count="0" hidden="1"/>
    <cacheHierarchy uniqueName="[Measures].[__XL_Count Tab_Salesperson]" caption="__XL_Count Tab_Salesperson" measure="1" displayFolder="" measureGroup="Tab_Salesperson" count="0" hidden="1"/>
    <cacheHierarchy uniqueName="[Measures].[__XL_Count Tbl_Product]" caption="__XL_Count Tbl_Product" measure="1" displayFolder="" measureGroup="Tbl_Product" count="0" hidden="1"/>
    <cacheHierarchy uniqueName="[Measures].[__XL_Count Tbl_Region]" caption="__XL_Count Tbl_Region" measure="1" displayFolder="" measureGroup="Tbl_Regio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Qry_sales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th Income]" caption="Sum of Oth Income" measure="1" displayFolder="" measureGroup="Qry_salesdata"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Qry_salesdata" count="0" hidden="1">
      <extLst>
        <ext xmlns:x15="http://schemas.microsoft.com/office/spreadsheetml/2010/11/main" uri="{B97F6D7D-B522-45F9-BDA1-12C45D357490}">
          <x15:cacheHierarchy aggregatedColumn="15"/>
        </ext>
      </extLst>
    </cacheHierarchy>
    <cacheHierarchy uniqueName="[Measures].[Sum of GP]" caption="Sum of GP" measure="1" displayFolder="" measureGroup="Qry_salesdata" count="0" hidden="1">
      <extLst>
        <ext xmlns:x15="http://schemas.microsoft.com/office/spreadsheetml/2010/11/main" uri="{B97F6D7D-B522-45F9-BDA1-12C45D357490}">
          <x15:cacheHierarchy aggregatedColumn="21"/>
        </ext>
      </extLst>
    </cacheHierarchy>
    <cacheHierarchy uniqueName="[Measures].[Sum of Direct OH]" caption="Sum of Direct OH" measure="1" displayFolder="" measureGroup="Qry_salesdata" count="0" hidden="1">
      <extLst>
        <ext xmlns:x15="http://schemas.microsoft.com/office/spreadsheetml/2010/11/main" uri="{B97F6D7D-B522-45F9-BDA1-12C45D357490}">
          <x15:cacheHierarchy aggregatedColumn="16"/>
        </ext>
      </extLst>
    </cacheHierarchy>
    <cacheHierarchy uniqueName="[Measures].[Sum of Finance]" caption="Sum of Finance" measure="1" displayFolder="" measureGroup="Qry_salesdata" count="0" hidden="1">
      <extLst>
        <ext xmlns:x15="http://schemas.microsoft.com/office/spreadsheetml/2010/11/main" uri="{B97F6D7D-B522-45F9-BDA1-12C45D357490}">
          <x15:cacheHierarchy aggregatedColumn="17"/>
        </ext>
      </extLst>
    </cacheHierarchy>
    <cacheHierarchy uniqueName="[Measures].[Sum of Admin]" caption="Sum of Admin" measure="1" displayFolder="" measureGroup="Qry_salesdata" count="0" hidden="1">
      <extLst>
        <ext xmlns:x15="http://schemas.microsoft.com/office/spreadsheetml/2010/11/main" uri="{B97F6D7D-B522-45F9-BDA1-12C45D357490}">
          <x15:cacheHierarchy aggregatedColumn="18"/>
        </ext>
      </extLst>
    </cacheHierarchy>
    <cacheHierarchy uniqueName="[Measures].[Sum of NP]" caption="Sum of NP" measure="1" displayFolder="" measureGroup="Qry_salesdata" count="0" hidden="1">
      <extLst>
        <ext xmlns:x15="http://schemas.microsoft.com/office/spreadsheetml/2010/11/main" uri="{B97F6D7D-B522-45F9-BDA1-12C45D357490}">
          <x15:cacheHierarchy aggregatedColumn="22"/>
        </ext>
      </extLst>
    </cacheHierarchy>
  </cacheHierarchies>
  <kpis count="0"/>
  <dimensions count="6">
    <dimension name="Calendar" uniqueName="[Calendar]" caption="Calendar"/>
    <dimension measure="1" name="Measures" uniqueName="[Measures]" caption="Measures"/>
    <dimension name="Qry_salesdata" uniqueName="[Qry_salesdata]" caption="Qry_salesdata"/>
    <dimension name="Tab_Salesperson" uniqueName="[Tab_Salesperson]" caption="Tab_Salesperson"/>
    <dimension name="Tbl_Product" uniqueName="[Tbl_Product]" caption="Tbl_Product"/>
    <dimension name="Tbl_Region" uniqueName="[Tbl_Region]" caption="Tbl_Region"/>
  </dimensions>
  <measureGroups count="5">
    <measureGroup name="Calendar" caption="Calendar"/>
    <measureGroup name="Qry_salesdata" caption="Qry_salesdata"/>
    <measureGroup name="Tab_Salesperson" caption="Tab_Salesperson"/>
    <measureGroup name="Tbl_Product" caption="Tbl_Product"/>
    <measureGroup name="Tbl_Region" caption="Tbl_Region"/>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pivotCacheId="11111788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54690-FC1C-4655-B2AF-A02AE040F167}" name="PivotChartTable2" cacheId="10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1:B7" firstHeaderRow="1" firstDataRow="1" firstDataCol="1"/>
  <pivotFields count="5">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4"/>
    </i>
    <i>
      <x/>
    </i>
    <i>
      <x v="3"/>
    </i>
    <i>
      <x v="2"/>
    </i>
    <i>
      <x v="1"/>
    </i>
    <i t="grand">
      <x/>
    </i>
  </rowItems>
  <colItems count="1">
    <i/>
  </colItems>
  <dataFields count="1">
    <dataField name="Sum of Sal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multipleItemSelectionAllowed="1">
      <members count="1" level="1">
        <member name="[Calendar].[Date Hierarchy].[Year].&amp;[2022]"/>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111178874">
        <x15:pivotRow count="1">
          <x15:c>
            <x15:v>330</x15:v>
          </x15:c>
        </x15:pivotRow>
        <x15:pivotRow count="1">
          <x15:c>
            <x15:v>405</x15:v>
          </x15:c>
        </x15:pivotRow>
        <x15:pivotRow count="1">
          <x15:c>
            <x15:v>1024</x15:v>
          </x15:c>
        </x15:pivotRow>
        <x15:pivotRow count="1">
          <x15:c>
            <x15:v>3135</x15:v>
          </x15:c>
        </x15:pivotRow>
        <x15:pivotRow count="1">
          <x15:c>
            <x15:v>4095</x15:v>
          </x15:c>
        </x15:pivotRow>
        <x15:pivotRow count="1">
          <x15:c>
            <x15:v>8989</x15:v>
          </x15:c>
        </x15:pivotRow>
      </x15:pivotTableData>
    </ext>
    <ext xmlns:x15="http://schemas.microsoft.com/office/spreadsheetml/2010/11/main" uri="{E67621CE-5B39-4880-91FE-76760E9C1902}">
      <x15:pivotTableUISettings>
        <x15:activeTabTopLevelEntity name="[Qry_salesdata]"/>
        <x15:activeTabTopLevelEntity name="[Tab_Salesperson]"/>
        <x15:activeTabTopLevelEntity name="[Calendar]"/>
        <x15:activeTabTopLevelEntity name="[Tbl_Region]"/>
        <x15:activeTabTopLevelEntity name="[Tbl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64FC1-BDB2-4AE9-AA4D-9413E8E17A3A}" name="PivotChartTable3" cacheId="9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1:B7" firstHeaderRow="1" firstDataRow="1" firstDataCol="1"/>
  <pivotFields count="5">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2"/>
    </i>
    <i>
      <x v="1"/>
    </i>
    <i>
      <x/>
    </i>
    <i>
      <x v="3"/>
    </i>
    <i>
      <x v="4"/>
    </i>
    <i t="grand">
      <x/>
    </i>
  </rowItems>
  <colItems count="1">
    <i/>
  </colItems>
  <dataFields count="1">
    <dataField name="Sum of NP"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multipleItemSelectionAllowed="1">
      <members count="1" level="1">
        <member name="[Calendar].[Date Hierarchy].[Year].&amp;[2022]"/>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100411193">
        <x15:pivotRow count="1">
          <x15:c>
            <x15:v>570</x15:v>
          </x15:c>
        </x15:pivotRow>
        <x15:pivotRow count="1">
          <x15:c>
            <x15:v>571</x15:v>
          </x15:c>
        </x15:pivotRow>
        <x15:pivotRow count="1">
          <x15:c>
            <x15:v>1039</x15:v>
          </x15:c>
        </x15:pivotRow>
        <x15:pivotRow count="1">
          <x15:c>
            <x15:v>1109</x15:v>
          </x15:c>
        </x15:pivotRow>
        <x15:pivotRow count="1">
          <x15:c>
            <x15:v>1767</x15:v>
          </x15:c>
        </x15:pivotRow>
        <x15:pivotRow count="1">
          <x15:c>
            <x15:v>5056</x15:v>
          </x15:c>
        </x15:pivotRow>
      </x15:pivotTableData>
    </ext>
    <ext xmlns:x15="http://schemas.microsoft.com/office/spreadsheetml/2010/11/main" uri="{E67621CE-5B39-4880-91FE-76760E9C1902}">
      <x15:pivotTableUISettings>
        <x15:activeTabTopLevelEntity name="[Tbl_Product]"/>
        <x15:activeTabTopLevelEntity name="[Qry_salesdata]"/>
        <x15:activeTabTopLevelEntity name="[Calendar]"/>
        <x15:activeTabTopLevelEntity name="[Tab_Salesperson]"/>
        <x15:activeTabTopLevelEntity name="[Tbl_Reg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15F9EB88-6F8D-468D-83A7-26DE96197028}" sourceName="[Calendar].[Date Hierarchy]">
  <data>
    <olap pivotCacheId="921107421">
      <levels count="4">
        <level uniqueName="[Calendar].[Date Hierarchy].[(All)]" sourceCaption="(All)" count="0"/>
        <level uniqueName="[Calendar].[Date Hierarchy].[Year]" sourceCaption="Year" count="2">
          <ranges>
            <range startItem="0">
              <i n="[Calendar].[Date Hierarchy].[Year].&amp;[2021]" c="2021"/>
              <i n="[Calendar].[Date Hierarchy].[Year].&amp;[2022]" c="2022"/>
            </range>
          </ranges>
        </level>
        <level uniqueName="[Calendar].[Date Hierarchy].[Month]" sourceCaption="Month" count="0"/>
        <level uniqueName="[Calendar].[Date Hierarchy].[DateColumn]" sourceCaption="DateColumn" count="0"/>
      </levels>
      <selections count="1">
        <selection n="[Calendar].[Date Hierarchy].[Year].&amp;[2022]"/>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F81D3CAB-AEA6-4B65-B864-803A077E7360}" sourceName="[Tab_Salesperson].[Name]">
  <data>
    <olap pivotCacheId="921107421">
      <levels count="2">
        <level uniqueName="[Tab_Salesperson].[Name].[(All)]" sourceCaption="(All)" count="0"/>
        <level uniqueName="[Tab_Salesperson].[Name].[Name]" sourceCaption="Name" count="9">
          <ranges>
            <range startItem="0">
              <i n="[Tab_Salesperson].[Name].&amp;[Faisal]" c="Faisal"/>
              <i n="[Tab_Salesperson].[Name].&amp;[Jay]" c="Jay"/>
              <i n="[Tab_Salesperson].[Name].&amp;[Manu]" c="Manu"/>
              <i n="[Tab_Salesperson].[Name].&amp;[Paul]" c="Paul"/>
              <i n="[Tab_Salesperson].[Name].&amp;[Raj]" c="Raj"/>
              <i n="[Tab_Salesperson].[Name].&amp;[Jobin]" c="Jobin" nd="1"/>
              <i n="[Tab_Salesperson].[Name].&amp;[Malu]" c="Malu" nd="1"/>
              <i n="[Tab_Salesperson].[Name].&amp;[Raju]" c="Raju" nd="1"/>
              <i n="[Tab_Salesperson].[Name].&amp;[Ravi]" c="Ravi" nd="1"/>
            </range>
          </ranges>
        </level>
      </levels>
      <selections count="1">
        <selection n="[Tab_Salesperson].[Name].[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909ADAE-ED9B-4477-AA3D-1915458D522D}" sourceName="[Tbl_Region].[Region]">
  <data>
    <olap pivotCacheId="921107421">
      <levels count="2">
        <level uniqueName="[Tbl_Region].[Region].[(All)]" sourceCaption="(All)" count="0"/>
        <level uniqueName="[Tbl_Region].[Region].[Region]" sourceCaption="Region" count="3">
          <ranges>
            <range startItem="0">
              <i n="[Tbl_Region].[Region].&amp;[ASIA]" c="ASIA"/>
              <i n="[Tbl_Region].[Region].&amp;[MENA]" c="MENA"/>
              <i n="[Tbl_Region].[Region].&amp;[ROW]" c="ROW" nd="1"/>
            </range>
          </ranges>
        </level>
      </levels>
      <selections count="1">
        <selection n="[Tbl_Region].[Region].[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AC33BD6-C16B-431C-8266-29D87A9813F0}" sourceName="[Tbl_Product].[Product]">
  <data>
    <olap pivotCacheId="921107421">
      <levels count="2">
        <level uniqueName="[Tbl_Product].[Product].[(All)]" sourceCaption="(All)" count="0"/>
        <level uniqueName="[Tbl_Product].[Product].[Product]" sourceCaption="Product" count="5">
          <ranges>
            <range startItem="0">
              <i n="[Tbl_Product].[Product].&amp;[ABC]" c="ABC"/>
              <i n="[Tbl_Product].[Product].&amp;[CCX]" c="CCX"/>
              <i n="[Tbl_Product].[Product].&amp;[DCD]" c="DCD"/>
              <i n="[Tbl_Product].[Product].&amp;[FFA]" c="FFA"/>
              <i n="[Tbl_Product].[Product].&amp;[XYZ]" c="XYZ"/>
            </range>
          </ranges>
        </level>
      </levels>
      <selections count="1">
        <selection n="[Tbl_Product].[Product].[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909D579-78B4-41DB-9529-5C076EAECD68}" sourceName="[Calendar].[Month]">
  <data>
    <olap pivotCacheId="921107421">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May]" c="May"/>
              <i n="[Calendar].[Month].&amp;[June]" c="June"/>
              <i n="[Calendar].[Month].&amp;[July]" c="July"/>
              <i n="[Calendar].[Month].&amp;[August]" c="August"/>
              <i n="[Calendar].[Month].&amp;[October]" c="October"/>
              <i n="[Calendar].[Month].&amp;[November]" c="November"/>
              <i n="[Calendar].[Month].&amp;[December]" c="December"/>
              <i n="[Calendar].[Month].&amp;[April]" c="April" nd="1"/>
              <i n="[Calendar].[Month].&amp;[September]" c="September" nd="1"/>
            </range>
          </ranges>
        </level>
      </levels>
      <selections count="1">
        <selection n="[Calendar].[Month].[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06A3B6-817F-4173-971D-653D3FE5BB30}" cache="Slicer_Date_Hierarchy" caption="Year" level="1" rowHeight="241300"/>
  <slicer name="Name" xr10:uid="{490C99AA-11F2-4661-B913-7B1C13330154}" cache="Slicer_Name" caption="Name" columnCount="3" level="1" rowHeight="241300"/>
  <slicer name="Region 2" xr10:uid="{F5F2FC2A-2BC3-4292-B7DE-65AA60D80426}" cache="Slicer_Region1" caption="Region" level="1" rowHeight="241300"/>
  <slicer name="Product 2" xr10:uid="{0A7D9998-1CD5-4B02-92ED-BAC5880673DF}" cache="Slicer_Product1" caption="Product" columnCount="3" level="1" rowHeight="241300"/>
  <slicer name="Month" xr10:uid="{816D543C-139B-437A-B3E4-AF5F4EB4A9F5}" cache="Slicer_Month" caption="Month"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848915-60CA-4AC5-94A3-D51CDF29DA30}" name="Tbl_salesdata" displayName="Tbl_salesdata" ref="A2:K133" totalsRowShown="0" headerRowBorderDxfId="4" tableBorderDxfId="3">
  <autoFilter ref="A2:K133" xr:uid="{7481B822-7F74-44BB-9DF4-445B27E2907C}"/>
  <tableColumns count="11">
    <tableColumn id="1" xr3:uid="{BA43266D-DF61-4E99-ABB0-157FC18D63D5}" name="Region"/>
    <tableColumn id="2" xr3:uid="{BB9F31CE-CCD9-4048-9C13-5D1E1AFF3F77}" name="Date" dataDxfId="2" dataCellStyle="Comma"/>
    <tableColumn id="3" xr3:uid="{0BA4C252-0742-4509-8FAC-8A6CFD0787F4}" name="Product"/>
    <tableColumn id="4" xr3:uid="{E2D76951-5978-4531-8DE1-3AD05FB1EDD2}" name="Sales Person"/>
    <tableColumn id="5" xr3:uid="{6CF513BE-F48A-4906-A06B-36556F1B2B78}" name="Sales Price"/>
    <tableColumn id="6" xr3:uid="{A38DC340-69AA-4AAE-9D71-2081384BE0DC}" name="Units"/>
    <tableColumn id="12" xr3:uid="{59B8AD15-F9C0-4C30-AC67-FE45C8B87C84}" name="Oth Income" dataDxfId="1"/>
    <tableColumn id="7" xr3:uid="{820EE670-43EF-46DE-A700-12050E00BBA3}" name="COGS"/>
    <tableColumn id="8" xr3:uid="{61B53DF4-C371-4C6E-94CD-2B6CDBF8D667}" name="Direct OH"/>
    <tableColumn id="9" xr3:uid="{61C60AA9-2C2F-4175-A846-4D503BB08B12}" name="Finance"/>
    <tableColumn id="10" xr3:uid="{ACC60D84-8FE5-42CB-82DC-4B882CFB0517}" name="Adm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92C0E7-8EBF-4657-9550-FFD02F7A1B8D}" name="Tbl_Product" displayName="Tbl_Product" ref="B3:C8" totalsRowShown="0">
  <autoFilter ref="B3:C8" xr:uid="{1FCD430D-7B1D-426F-819E-19E503EF17E5}"/>
  <tableColumns count="2">
    <tableColumn id="1" xr3:uid="{9BBC6C35-B59D-414D-95E1-0AC70D9A7AD2}" name="Sl No"/>
    <tableColumn id="2" xr3:uid="{AC04054D-E9EA-43E4-9172-7A54AE977046}" name="Produ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0ED16B-156B-43F5-80ED-0300BDE49820}" name="Tab_Salesperson" displayName="Tab_Salesperson" ref="E2:G11" totalsRowShown="0">
  <autoFilter ref="E2:G11" xr:uid="{EC704924-1EC5-4796-AF69-C8E5BE528071}"/>
  <tableColumns count="3">
    <tableColumn id="1" xr3:uid="{BCD75B4A-B1B0-4A16-B6FC-8124D9C1675C}" name="SL no">
      <calculatedColumnFormula>+E2+1</calculatedColumnFormula>
    </tableColumn>
    <tableColumn id="2" xr3:uid="{E313C344-6CB2-4B64-8150-BD86776FAA7F}" name="Name"/>
    <tableColumn id="3" xr3:uid="{167B4B80-6060-4E2A-BAA3-7A334C1A2441}" name="Region"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C0D10B-EF30-4917-A4D5-4E38E4813C64}" name="Tbl_Region" displayName="Tbl_Region" ref="I5:J8" totalsRowShown="0">
  <autoFilter ref="I5:J8" xr:uid="{24949599-5C80-4FAC-8F1C-F8427CB157CB}"/>
  <tableColumns count="2">
    <tableColumn id="1" xr3:uid="{04385994-9C68-4992-95AA-B3C49D61A34F}" name="Sl No">
      <calculatedColumnFormula>+I5+1</calculatedColumnFormula>
    </tableColumn>
    <tableColumn id="2" xr3:uid="{9008ED67-2EEE-41C4-9FF0-AB35CB1969EF}"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Divyas">
      <a:dk1>
        <a:sysClr val="windowText" lastClr="000000"/>
      </a:dk1>
      <a:lt1>
        <a:sysClr val="window" lastClr="FFFFFF"/>
      </a:lt1>
      <a:dk2>
        <a:srgbClr val="44546A"/>
      </a:dk2>
      <a:lt2>
        <a:srgbClr val="E7E6E6"/>
      </a:lt2>
      <a:accent1>
        <a:srgbClr val="92D050"/>
      </a:accent1>
      <a:accent2>
        <a:srgbClr val="FF0000"/>
      </a:accent2>
      <a:accent3>
        <a:srgbClr val="A5A5A5"/>
      </a:accent3>
      <a:accent4>
        <a:srgbClr val="FFC000"/>
      </a:accent4>
      <a:accent5>
        <a:srgbClr val="4472C4"/>
      </a:accent5>
      <a:accent6>
        <a:srgbClr val="C490AA"/>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0C5C-A6F8-4C57-9B60-AEB6FB56458A}">
  <dimension ref="A1:W206"/>
  <sheetViews>
    <sheetView showGridLines="0" tabSelected="1" zoomScale="80" zoomScaleNormal="80" workbookViewId="0">
      <selection activeCell="T7" sqref="T7"/>
    </sheetView>
  </sheetViews>
  <sheetFormatPr defaultRowHeight="14.4" x14ac:dyDescent="0.3"/>
  <cols>
    <col min="1" max="1" width="3.5546875" customWidth="1"/>
    <col min="2" max="2" width="2.109375" customWidth="1"/>
    <col min="3" max="3" width="12.109375" bestFit="1" customWidth="1"/>
    <col min="4" max="4" width="18.109375" bestFit="1" customWidth="1"/>
    <col min="5" max="5" width="12.5546875" bestFit="1" customWidth="1"/>
    <col min="6" max="6" width="10.109375" bestFit="1" customWidth="1"/>
    <col min="7" max="7" width="16.109375" bestFit="1" customWidth="1"/>
    <col min="8" max="8" width="14.5546875" bestFit="1" customWidth="1"/>
    <col min="9" max="9" width="13.5546875" bestFit="1" customWidth="1"/>
    <col min="10" max="10" width="10.109375" bestFit="1" customWidth="1"/>
    <col min="17" max="17" width="6.77734375" customWidth="1"/>
    <col min="18" max="18" width="3.44140625" customWidth="1"/>
  </cols>
  <sheetData>
    <row r="1" spans="1:23" ht="15" thickBot="1" x14ac:dyDescent="0.35">
      <c r="A1" s="4"/>
      <c r="B1" s="4"/>
      <c r="C1" s="4"/>
      <c r="D1" s="4"/>
      <c r="E1" s="4"/>
      <c r="F1" s="4"/>
      <c r="G1" s="4"/>
      <c r="H1" s="4"/>
      <c r="I1" s="4"/>
      <c r="J1" s="4"/>
      <c r="K1" s="4"/>
      <c r="L1" s="4"/>
      <c r="M1" s="4"/>
      <c r="N1" s="4"/>
      <c r="O1" s="4"/>
      <c r="P1" s="4"/>
      <c r="Q1" s="4"/>
      <c r="R1" s="4"/>
      <c r="S1" s="4"/>
      <c r="T1" s="4"/>
      <c r="U1" s="4"/>
      <c r="V1" s="4"/>
      <c r="W1" s="4"/>
    </row>
    <row r="2" spans="1:23" ht="24" thickBot="1" x14ac:dyDescent="0.5">
      <c r="A2" s="4"/>
      <c r="B2" s="13"/>
      <c r="C2" s="13" t="s">
        <v>30</v>
      </c>
      <c r="D2" s="5"/>
      <c r="E2" s="5"/>
      <c r="F2" s="5"/>
      <c r="G2" s="5"/>
      <c r="H2" s="5"/>
      <c r="I2" s="6"/>
      <c r="J2" s="5"/>
      <c r="K2" s="5"/>
      <c r="L2" s="5"/>
      <c r="M2" s="5"/>
      <c r="N2" s="5"/>
      <c r="O2" s="5"/>
      <c r="P2" s="5"/>
      <c r="Q2" s="5"/>
      <c r="R2" s="7"/>
      <c r="S2" s="4"/>
      <c r="T2" s="4"/>
      <c r="U2" s="4"/>
      <c r="V2" s="4"/>
      <c r="W2" s="4"/>
    </row>
    <row r="3" spans="1:23" ht="23.4" x14ac:dyDescent="0.45">
      <c r="A3" s="4"/>
      <c r="B3" s="15" t="s">
        <v>34</v>
      </c>
      <c r="C3" s="15"/>
      <c r="D3" s="15"/>
      <c r="E3" s="15"/>
      <c r="F3" s="15"/>
      <c r="G3" s="15"/>
      <c r="H3" s="15"/>
      <c r="I3" s="15"/>
      <c r="J3" s="15"/>
      <c r="K3" s="15"/>
      <c r="L3" s="15"/>
      <c r="M3" s="15"/>
      <c r="N3" s="15"/>
      <c r="O3" s="15"/>
      <c r="P3" s="15"/>
      <c r="Q3" s="15"/>
      <c r="R3" s="15"/>
      <c r="S3" s="4"/>
      <c r="T3" s="4"/>
      <c r="U3" s="4"/>
      <c r="V3" s="4"/>
      <c r="W3" s="4"/>
    </row>
    <row r="4" spans="1:23" x14ac:dyDescent="0.3">
      <c r="A4" s="4"/>
      <c r="B4" s="8"/>
      <c r="R4" s="9"/>
      <c r="S4" s="4"/>
      <c r="T4" s="4"/>
      <c r="U4" s="4"/>
      <c r="V4" s="4"/>
      <c r="W4" s="4"/>
    </row>
    <row r="5" spans="1:23" x14ac:dyDescent="0.3">
      <c r="A5" s="4"/>
      <c r="B5" s="8"/>
      <c r="R5" s="9"/>
      <c r="S5" s="4"/>
      <c r="T5" s="4"/>
      <c r="U5" s="4"/>
      <c r="V5" s="4"/>
      <c r="W5" s="4"/>
    </row>
    <row r="6" spans="1:23" x14ac:dyDescent="0.3">
      <c r="A6" s="4"/>
      <c r="B6" s="8"/>
      <c r="R6" s="9"/>
      <c r="S6" s="4"/>
      <c r="T6" s="4"/>
      <c r="U6" s="4"/>
      <c r="V6" s="4"/>
      <c r="W6" s="4"/>
    </row>
    <row r="7" spans="1:23" x14ac:dyDescent="0.3">
      <c r="A7" s="4"/>
      <c r="B7" s="8"/>
      <c r="C7" t="str" vm="6">
        <f>CUBEMEMBER("ThisWorkbookDataModel","[Measures].[Sum of Sales]")</f>
        <v>Sum of Sales</v>
      </c>
      <c r="D7" t="str" vm="4">
        <f>CUBEMEMBER("ThisWorkbookDataModel","[Measures].[Sum of Oth Income]")</f>
        <v>Sum of Oth Income</v>
      </c>
      <c r="E7" t="str" vm="2">
        <f>CUBEMEMBER("ThisWorkbookDataModel","[Measures].[Sum of COGS]")</f>
        <v>Sum of COGS</v>
      </c>
      <c r="F7" t="str" vm="8">
        <f>CUBEMEMBER("ThisWorkbookDataModel","[Measures].[Sum of GP]")</f>
        <v>Sum of GP</v>
      </c>
      <c r="G7" t="str" vm="5">
        <f>CUBEMEMBER("ThisWorkbookDataModel","[Measures].[Sum of Direct OH]")</f>
        <v>Sum of Direct OH</v>
      </c>
      <c r="H7" t="str" vm="3">
        <f>CUBEMEMBER("ThisWorkbookDataModel","[Measures].[Sum of Finance]")</f>
        <v>Sum of Finance</v>
      </c>
      <c r="I7" t="str" vm="1">
        <f>CUBEMEMBER("ThisWorkbookDataModel","[Measures].[Sum of Admin]")</f>
        <v>Sum of Admin</v>
      </c>
      <c r="J7" t="str" vm="7">
        <f>CUBEMEMBER("ThisWorkbookDataModel","[Measures].[Sum of NP]")</f>
        <v>Sum of NP</v>
      </c>
      <c r="R7" s="9"/>
      <c r="S7" s="4"/>
      <c r="T7" s="4"/>
      <c r="U7" s="4"/>
      <c r="V7" s="4"/>
      <c r="W7" s="4"/>
    </row>
    <row r="8" spans="1:23" x14ac:dyDescent="0.3">
      <c r="A8" s="4"/>
      <c r="B8" s="8"/>
      <c r="C8" t="s">
        <v>24</v>
      </c>
      <c r="D8" t="s">
        <v>23</v>
      </c>
      <c r="E8" t="s">
        <v>28</v>
      </c>
      <c r="F8" t="s">
        <v>15</v>
      </c>
      <c r="G8" t="s">
        <v>14</v>
      </c>
      <c r="H8" t="s">
        <v>16</v>
      </c>
      <c r="I8" t="s">
        <v>17</v>
      </c>
      <c r="J8" t="s">
        <v>29</v>
      </c>
      <c r="R8" s="9"/>
      <c r="S8" s="4"/>
      <c r="T8" s="4"/>
      <c r="U8" s="4"/>
      <c r="V8" s="4"/>
      <c r="W8" s="4"/>
    </row>
    <row r="9" spans="1:23" x14ac:dyDescent="0.3">
      <c r="A9" s="4"/>
      <c r="B9" s="8"/>
      <c r="C9" vm="10">
        <f>CUBEVALUE("ThisWorkbookDataModel",C$7,Slicer_Date_Hierarchy,Slicer_Name,Slicer_Region1,Slicer_Product1)</f>
        <v>8989</v>
      </c>
      <c r="D9" vm="12">
        <f>CUBEVALUE("ThisWorkbookDataModel",D$7,Slicer_Date_Hierarchy,Slicer_Name,Slicer_Region1,Slicer_Product1)</f>
        <v>1376</v>
      </c>
      <c r="E9">
        <f>-CUBEVALUE("ThisWorkbookDataModel",E$7,Slicer_Date_Hierarchy,Slicer_Name,Slicer_Region1,Slicer_Product1)</f>
        <v>-1307</v>
      </c>
      <c r="F9" vm="11">
        <f>CUBEVALUE("ThisWorkbookDataModel",F$7,Slicer_Date_Hierarchy,Slicer_Name,Slicer_Region1,Slicer_Product1)</f>
        <v>9058</v>
      </c>
      <c r="G9">
        <f>-CUBEVALUE("ThisWorkbookDataModel",G$7,Slicer_Date_Hierarchy,Slicer_Name,Slicer_Region1,Slicer_Product1)</f>
        <v>-942</v>
      </c>
      <c r="H9">
        <f>-CUBEVALUE("ThisWorkbookDataModel",H$7,Slicer_Date_Hierarchy,Slicer_Name,Slicer_Region1,Slicer_Product1)</f>
        <v>-560</v>
      </c>
      <c r="I9">
        <f>-CUBEVALUE("ThisWorkbookDataModel",I$7,Slicer_Date_Hierarchy,Slicer_Name,Slicer_Region1,Slicer_Product1)</f>
        <v>-2500</v>
      </c>
      <c r="J9" vm="9">
        <f>CUBEVALUE("ThisWorkbookDataModel",J$7,Slicer_Date_Hierarchy,Slicer_Name,Slicer_Region1,Slicer_Product1)</f>
        <v>5056</v>
      </c>
      <c r="R9" s="9"/>
      <c r="S9" s="4"/>
      <c r="T9" s="4"/>
      <c r="U9" s="4"/>
      <c r="V9" s="4"/>
      <c r="W9" s="4"/>
    </row>
    <row r="10" spans="1:23" x14ac:dyDescent="0.3">
      <c r="A10" s="4"/>
      <c r="B10" s="8"/>
      <c r="R10" s="9"/>
      <c r="S10" s="4"/>
      <c r="T10" s="4"/>
      <c r="U10" s="4"/>
      <c r="V10" s="4"/>
      <c r="W10" s="4"/>
    </row>
    <row r="11" spans="1:23" x14ac:dyDescent="0.3">
      <c r="A11" s="4"/>
      <c r="B11" s="8"/>
      <c r="R11" s="9"/>
      <c r="S11" s="4"/>
      <c r="T11" s="4"/>
      <c r="U11" s="4"/>
      <c r="V11" s="4"/>
      <c r="W11" s="4"/>
    </row>
    <row r="12" spans="1:23" x14ac:dyDescent="0.3">
      <c r="A12" s="4"/>
      <c r="B12" s="8"/>
      <c r="R12" s="9"/>
      <c r="S12" s="4"/>
      <c r="T12" s="4"/>
      <c r="U12" s="4"/>
      <c r="V12" s="4"/>
      <c r="W12" s="4"/>
    </row>
    <row r="13" spans="1:23" x14ac:dyDescent="0.3">
      <c r="A13" s="4"/>
      <c r="B13" s="8"/>
      <c r="R13" s="9"/>
      <c r="S13" s="4"/>
      <c r="T13" s="4"/>
      <c r="U13" s="4"/>
      <c r="V13" s="4"/>
      <c r="W13" s="4"/>
    </row>
    <row r="14" spans="1:23" x14ac:dyDescent="0.3">
      <c r="A14" s="4"/>
      <c r="B14" s="8"/>
      <c r="R14" s="9"/>
      <c r="S14" s="4"/>
      <c r="T14" s="4"/>
      <c r="U14" s="4"/>
      <c r="V14" s="4"/>
      <c r="W14" s="4"/>
    </row>
    <row r="15" spans="1:23" x14ac:dyDescent="0.3">
      <c r="A15" s="4"/>
      <c r="B15" s="8"/>
      <c r="R15" s="9"/>
      <c r="S15" s="4"/>
      <c r="T15" s="4"/>
      <c r="U15" s="4"/>
      <c r="V15" s="4"/>
      <c r="W15" s="4"/>
    </row>
    <row r="16" spans="1:23" x14ac:dyDescent="0.3">
      <c r="A16" s="4"/>
      <c r="B16" s="8"/>
      <c r="R16" s="9"/>
      <c r="S16" s="4"/>
      <c r="T16" s="4"/>
      <c r="U16" s="4"/>
      <c r="V16" s="4"/>
      <c r="W16" s="4"/>
    </row>
    <row r="17" spans="1:23" x14ac:dyDescent="0.3">
      <c r="A17" s="4"/>
      <c r="B17" s="8"/>
      <c r="R17" s="9"/>
      <c r="S17" s="4"/>
      <c r="T17" s="4"/>
      <c r="U17" s="4"/>
      <c r="V17" s="4"/>
      <c r="W17" s="4"/>
    </row>
    <row r="18" spans="1:23" x14ac:dyDescent="0.3">
      <c r="A18" s="4"/>
      <c r="B18" s="8"/>
      <c r="R18" s="9"/>
      <c r="S18" s="4"/>
      <c r="T18" s="4"/>
      <c r="U18" s="4"/>
      <c r="V18" s="4"/>
      <c r="W18" s="4"/>
    </row>
    <row r="19" spans="1:23" x14ac:dyDescent="0.3">
      <c r="A19" s="4"/>
      <c r="B19" s="8"/>
      <c r="R19" s="9"/>
      <c r="S19" s="4"/>
      <c r="T19" s="4"/>
      <c r="U19" s="4"/>
      <c r="V19" s="4"/>
      <c r="W19" s="4"/>
    </row>
    <row r="20" spans="1:23" x14ac:dyDescent="0.3">
      <c r="A20" s="4"/>
      <c r="B20" s="8"/>
      <c r="R20" s="9"/>
      <c r="S20" s="4"/>
      <c r="T20" s="4"/>
      <c r="U20" s="4"/>
      <c r="V20" s="4"/>
      <c r="W20" s="4"/>
    </row>
    <row r="21" spans="1:23" x14ac:dyDescent="0.3">
      <c r="A21" s="4"/>
      <c r="B21" s="8"/>
      <c r="R21" s="9"/>
      <c r="S21" s="4"/>
      <c r="T21" s="4"/>
      <c r="U21" s="4"/>
      <c r="V21" s="4"/>
      <c r="W21" s="4"/>
    </row>
    <row r="22" spans="1:23" x14ac:dyDescent="0.3">
      <c r="A22" s="4"/>
      <c r="B22" s="8"/>
      <c r="R22" s="9"/>
      <c r="S22" s="4"/>
      <c r="T22" s="4"/>
      <c r="U22" s="4"/>
      <c r="V22" s="4"/>
      <c r="W22" s="4"/>
    </row>
    <row r="23" spans="1:23" x14ac:dyDescent="0.3">
      <c r="A23" s="4"/>
      <c r="B23" s="8"/>
      <c r="R23" s="9"/>
      <c r="S23" s="4"/>
      <c r="T23" s="4"/>
      <c r="U23" s="4"/>
      <c r="V23" s="4"/>
      <c r="W23" s="4"/>
    </row>
    <row r="24" spans="1:23" x14ac:dyDescent="0.3">
      <c r="A24" s="4"/>
      <c r="B24" s="8"/>
      <c r="R24" s="9"/>
      <c r="S24" s="4"/>
      <c r="T24" s="4"/>
      <c r="U24" s="4"/>
      <c r="V24" s="4"/>
      <c r="W24" s="4"/>
    </row>
    <row r="25" spans="1:23" x14ac:dyDescent="0.3">
      <c r="A25" s="4"/>
      <c r="B25" s="8"/>
      <c r="R25" s="9"/>
      <c r="S25" s="4"/>
      <c r="T25" s="4"/>
      <c r="U25" s="4"/>
      <c r="V25" s="4"/>
      <c r="W25" s="4"/>
    </row>
    <row r="26" spans="1:23" x14ac:dyDescent="0.3">
      <c r="A26" s="4"/>
      <c r="B26" s="8"/>
      <c r="R26" s="9"/>
      <c r="S26" s="4"/>
      <c r="T26" s="4"/>
      <c r="U26" s="4"/>
      <c r="V26" s="4"/>
      <c r="W26" s="4"/>
    </row>
    <row r="27" spans="1:23" x14ac:dyDescent="0.3">
      <c r="A27" s="4"/>
      <c r="B27" s="8"/>
      <c r="R27" s="9"/>
      <c r="S27" s="4"/>
      <c r="T27" s="4"/>
      <c r="U27" s="4"/>
      <c r="V27" s="4"/>
      <c r="W27" s="4"/>
    </row>
    <row r="28" spans="1:23" x14ac:dyDescent="0.3">
      <c r="A28" s="4"/>
      <c r="B28" s="8"/>
      <c r="R28" s="9"/>
      <c r="S28" s="4"/>
      <c r="T28" s="4"/>
      <c r="U28" s="4"/>
      <c r="V28" s="4"/>
      <c r="W28" s="4"/>
    </row>
    <row r="29" spans="1:23" x14ac:dyDescent="0.3">
      <c r="A29" s="4"/>
      <c r="B29" s="8"/>
      <c r="R29" s="9"/>
      <c r="S29" s="4"/>
      <c r="T29" s="4"/>
      <c r="U29" s="4"/>
      <c r="V29" s="4"/>
      <c r="W29" s="4"/>
    </row>
    <row r="30" spans="1:23" x14ac:dyDescent="0.3">
      <c r="A30" s="4"/>
      <c r="B30" s="8"/>
      <c r="R30" s="9"/>
      <c r="S30" s="4"/>
      <c r="T30" s="4"/>
      <c r="U30" s="4"/>
      <c r="V30" s="4"/>
      <c r="W30" s="4"/>
    </row>
    <row r="31" spans="1:23" x14ac:dyDescent="0.3">
      <c r="A31" s="4"/>
      <c r="B31" s="8"/>
      <c r="R31" s="9"/>
      <c r="S31" s="4"/>
      <c r="T31" s="4"/>
      <c r="U31" s="4"/>
      <c r="V31" s="4"/>
      <c r="W31" s="4"/>
    </row>
    <row r="32" spans="1:23" x14ac:dyDescent="0.3">
      <c r="A32" s="4"/>
      <c r="B32" s="8"/>
      <c r="R32" s="9"/>
      <c r="S32" s="4"/>
      <c r="T32" s="4"/>
      <c r="U32" s="4"/>
      <c r="V32" s="4"/>
      <c r="W32" s="4"/>
    </row>
    <row r="33" spans="1:23" x14ac:dyDescent="0.3">
      <c r="A33" s="4"/>
      <c r="B33" s="8"/>
      <c r="R33" s="9"/>
      <c r="S33" s="4"/>
      <c r="T33" s="4"/>
      <c r="U33" s="4"/>
      <c r="V33" s="4"/>
      <c r="W33" s="4"/>
    </row>
    <row r="34" spans="1:23" x14ac:dyDescent="0.3">
      <c r="A34" s="4"/>
      <c r="B34" s="8"/>
      <c r="R34" s="9"/>
      <c r="S34" s="4"/>
      <c r="T34" s="4"/>
      <c r="U34" s="4"/>
      <c r="V34" s="4"/>
      <c r="W34" s="4"/>
    </row>
    <row r="35" spans="1:23" x14ac:dyDescent="0.3">
      <c r="A35" s="4"/>
      <c r="B35" s="8"/>
      <c r="R35" s="9"/>
      <c r="S35" s="4"/>
      <c r="T35" s="4"/>
      <c r="U35" s="4"/>
      <c r="V35" s="4"/>
      <c r="W35" s="4"/>
    </row>
    <row r="36" spans="1:23" ht="15" thickBot="1" x14ac:dyDescent="0.35">
      <c r="A36" s="4"/>
      <c r="B36" s="10"/>
      <c r="C36" s="11"/>
      <c r="D36" s="11"/>
      <c r="E36" s="11"/>
      <c r="F36" s="11"/>
      <c r="G36" s="11"/>
      <c r="H36" s="11"/>
      <c r="I36" s="11"/>
      <c r="J36" s="11"/>
      <c r="K36" s="11"/>
      <c r="L36" s="11"/>
      <c r="M36" s="11"/>
      <c r="N36" s="11"/>
      <c r="O36" s="11"/>
      <c r="P36" s="11"/>
      <c r="Q36" s="11"/>
      <c r="R36" s="12"/>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row r="38" spans="1:23" x14ac:dyDescent="0.3">
      <c r="A38" s="4"/>
      <c r="B38" s="4"/>
      <c r="C38" s="4"/>
      <c r="D38" s="4"/>
      <c r="E38" s="4"/>
      <c r="F38" s="4"/>
      <c r="G38" s="4"/>
      <c r="H38" s="4"/>
      <c r="I38" s="4"/>
      <c r="J38" s="4"/>
      <c r="K38" s="4"/>
      <c r="L38" s="4"/>
      <c r="M38" s="4"/>
      <c r="N38" s="4"/>
      <c r="O38" s="4"/>
      <c r="P38" s="4"/>
      <c r="Q38" s="4"/>
      <c r="R38" s="4"/>
      <c r="S38" s="4"/>
      <c r="T38" s="4"/>
      <c r="U38" s="4"/>
      <c r="V38" s="4"/>
      <c r="W38" s="4"/>
    </row>
    <row r="39" spans="1:23" x14ac:dyDescent="0.3">
      <c r="A39" s="4"/>
      <c r="B39" s="4"/>
      <c r="C39" s="4"/>
      <c r="D39" s="4"/>
      <c r="E39" s="4"/>
      <c r="F39" s="4"/>
      <c r="G39" s="4"/>
      <c r="H39" s="4"/>
      <c r="I39" s="4"/>
      <c r="J39" s="4"/>
      <c r="K39" s="4"/>
      <c r="L39" s="4"/>
      <c r="M39" s="4"/>
      <c r="N39" s="4"/>
      <c r="O39" s="4"/>
      <c r="P39" s="4"/>
      <c r="Q39" s="4"/>
      <c r="R39" s="4"/>
      <c r="S39" s="4"/>
      <c r="T39" s="4"/>
      <c r="U39" s="4"/>
      <c r="V39" s="4"/>
      <c r="W39" s="4"/>
    </row>
    <row r="40" spans="1:23" x14ac:dyDescent="0.3">
      <c r="A40" s="4"/>
      <c r="B40" s="4"/>
      <c r="C40" s="4"/>
      <c r="D40" s="4"/>
      <c r="E40" s="4"/>
      <c r="F40" s="4"/>
      <c r="G40" s="4"/>
      <c r="H40" s="4"/>
      <c r="I40" s="4"/>
      <c r="J40" s="4"/>
      <c r="K40" s="4"/>
      <c r="L40" s="4"/>
      <c r="M40" s="4"/>
      <c r="N40" s="4"/>
      <c r="O40" s="4"/>
      <c r="P40" s="4"/>
      <c r="Q40" s="4"/>
      <c r="R40" s="4"/>
      <c r="S40" s="4"/>
      <c r="T40" s="4"/>
      <c r="U40" s="4"/>
      <c r="V40" s="4"/>
      <c r="W40" s="4"/>
    </row>
    <row r="41" spans="1:23" x14ac:dyDescent="0.3">
      <c r="A41" s="4"/>
      <c r="B41" s="4"/>
      <c r="C41" s="4"/>
      <c r="D41" s="4"/>
      <c r="E41" s="4"/>
      <c r="F41" s="4"/>
      <c r="G41" s="4"/>
      <c r="H41" s="4"/>
      <c r="I41" s="4"/>
      <c r="J41" s="4"/>
      <c r="K41" s="4"/>
      <c r="L41" s="4"/>
      <c r="M41" s="4"/>
      <c r="N41" s="4"/>
      <c r="O41" s="4"/>
      <c r="P41" s="4"/>
      <c r="Q41" s="4"/>
      <c r="R41" s="4"/>
      <c r="S41" s="4"/>
      <c r="T41" s="4"/>
      <c r="U41" s="4"/>
      <c r="V41" s="4"/>
      <c r="W41" s="4"/>
    </row>
    <row r="42" spans="1:23" x14ac:dyDescent="0.3">
      <c r="A42" s="4"/>
      <c r="B42" s="4"/>
      <c r="C42" s="4"/>
      <c r="D42" s="4"/>
      <c r="E42" s="4"/>
      <c r="F42" s="4"/>
      <c r="G42" s="4"/>
      <c r="H42" s="4"/>
      <c r="I42" s="4"/>
      <c r="J42" s="4"/>
      <c r="K42" s="4"/>
      <c r="L42" s="4"/>
      <c r="M42" s="4"/>
      <c r="N42" s="4"/>
      <c r="O42" s="4"/>
      <c r="P42" s="4"/>
      <c r="Q42" s="4"/>
      <c r="R42" s="4"/>
      <c r="S42" s="4"/>
      <c r="T42" s="4"/>
      <c r="U42" s="4"/>
      <c r="V42" s="4"/>
      <c r="W42" s="4"/>
    </row>
    <row r="43" spans="1:23" x14ac:dyDescent="0.3">
      <c r="A43" s="4"/>
      <c r="B43" s="4"/>
      <c r="C43" s="4"/>
      <c r="D43" s="4"/>
      <c r="E43" s="4"/>
      <c r="F43" s="4"/>
      <c r="G43" s="4"/>
      <c r="H43" s="4"/>
      <c r="I43" s="4"/>
      <c r="J43" s="4"/>
      <c r="K43" s="4"/>
      <c r="L43" s="4"/>
      <c r="M43" s="4"/>
      <c r="N43" s="4"/>
      <c r="O43" s="4"/>
      <c r="P43" s="4"/>
      <c r="Q43" s="4"/>
      <c r="R43" s="4"/>
      <c r="S43" s="4"/>
      <c r="T43" s="4"/>
      <c r="U43" s="4"/>
      <c r="V43" s="4"/>
      <c r="W43" s="4"/>
    </row>
    <row r="44" spans="1:23" x14ac:dyDescent="0.3">
      <c r="A44" s="4"/>
      <c r="B44" s="4"/>
      <c r="C44" s="4"/>
      <c r="D44" s="4"/>
      <c r="E44" s="4"/>
      <c r="F44" s="4"/>
      <c r="G44" s="4"/>
      <c r="H44" s="4"/>
      <c r="I44" s="4"/>
      <c r="J44" s="4"/>
      <c r="K44" s="4"/>
      <c r="L44" s="4"/>
      <c r="M44" s="4"/>
      <c r="N44" s="4"/>
      <c r="O44" s="4"/>
      <c r="P44" s="4"/>
      <c r="Q44" s="4"/>
      <c r="R44" s="4"/>
      <c r="S44" s="4"/>
      <c r="T44" s="4"/>
      <c r="U44" s="4"/>
      <c r="V44" s="4"/>
      <c r="W44" s="4"/>
    </row>
    <row r="45" spans="1:23" x14ac:dyDescent="0.3">
      <c r="A45" s="4"/>
      <c r="B45" s="4"/>
      <c r="C45" s="4"/>
      <c r="D45" s="4"/>
      <c r="E45" s="4"/>
      <c r="F45" s="4"/>
      <c r="G45" s="4"/>
      <c r="H45" s="4"/>
      <c r="I45" s="4"/>
      <c r="J45" s="4"/>
      <c r="K45" s="4"/>
      <c r="L45" s="4"/>
      <c r="M45" s="4"/>
      <c r="N45" s="4"/>
      <c r="O45" s="4"/>
      <c r="P45" s="4"/>
      <c r="Q45" s="4"/>
      <c r="R45" s="4"/>
      <c r="S45" s="4"/>
      <c r="T45" s="4"/>
      <c r="U45" s="4"/>
      <c r="V45" s="4"/>
      <c r="W45" s="4"/>
    </row>
    <row r="46" spans="1:23" x14ac:dyDescent="0.3">
      <c r="A46" s="4"/>
      <c r="B46" s="4"/>
      <c r="C46" s="4"/>
      <c r="D46" s="4"/>
      <c r="E46" s="4"/>
      <c r="F46" s="4"/>
      <c r="G46" s="4"/>
      <c r="H46" s="4"/>
      <c r="I46" s="4"/>
      <c r="J46" s="4"/>
      <c r="K46" s="4"/>
      <c r="L46" s="4"/>
      <c r="M46" s="4"/>
      <c r="N46" s="4"/>
      <c r="O46" s="4"/>
      <c r="P46" s="4"/>
      <c r="Q46" s="4"/>
      <c r="R46" s="4"/>
      <c r="S46" s="4"/>
      <c r="T46" s="4"/>
      <c r="U46" s="4"/>
      <c r="V46" s="4"/>
      <c r="W46" s="4"/>
    </row>
    <row r="47" spans="1:23" x14ac:dyDescent="0.3">
      <c r="A47" s="4"/>
      <c r="B47" s="4"/>
      <c r="C47" s="4"/>
      <c r="D47" s="4"/>
      <c r="E47" s="4"/>
      <c r="F47" s="4"/>
      <c r="G47" s="4"/>
      <c r="H47" s="4"/>
      <c r="I47" s="4"/>
      <c r="J47" s="4"/>
      <c r="K47" s="4"/>
      <c r="L47" s="4"/>
      <c r="M47" s="4"/>
      <c r="N47" s="4"/>
      <c r="O47" s="4"/>
      <c r="P47" s="4"/>
      <c r="Q47" s="4"/>
      <c r="R47" s="4"/>
      <c r="S47" s="4"/>
      <c r="T47" s="4"/>
      <c r="U47" s="4"/>
      <c r="V47" s="4"/>
      <c r="W47" s="4"/>
    </row>
    <row r="48" spans="1:23" x14ac:dyDescent="0.3">
      <c r="A48" s="4"/>
      <c r="B48" s="4"/>
      <c r="C48" s="4"/>
      <c r="D48" s="4"/>
      <c r="E48" s="4"/>
      <c r="F48" s="4"/>
      <c r="G48" s="4"/>
      <c r="H48" s="4"/>
      <c r="I48" s="4"/>
      <c r="J48" s="4"/>
      <c r="K48" s="4"/>
      <c r="L48" s="4"/>
      <c r="M48" s="4"/>
      <c r="N48" s="4"/>
      <c r="O48" s="4"/>
      <c r="P48" s="4"/>
      <c r="Q48" s="4"/>
      <c r="R48" s="4"/>
      <c r="S48" s="4"/>
      <c r="T48" s="4"/>
      <c r="U48" s="4"/>
      <c r="V48" s="4"/>
      <c r="W48" s="4"/>
    </row>
    <row r="49" spans="1:23" x14ac:dyDescent="0.3">
      <c r="A49" s="4"/>
      <c r="B49" s="4"/>
      <c r="C49" s="4"/>
      <c r="D49" s="4"/>
      <c r="E49" s="4"/>
      <c r="F49" s="4"/>
      <c r="G49" s="4"/>
      <c r="H49" s="4"/>
      <c r="I49" s="4"/>
      <c r="J49" s="4"/>
      <c r="K49" s="4"/>
      <c r="L49" s="4"/>
      <c r="M49" s="4"/>
      <c r="N49" s="4"/>
      <c r="O49" s="4"/>
      <c r="P49" s="4"/>
      <c r="Q49" s="4"/>
      <c r="R49" s="4"/>
      <c r="S49" s="4"/>
      <c r="T49" s="4"/>
      <c r="U49" s="4"/>
      <c r="V49" s="4"/>
      <c r="W49" s="4"/>
    </row>
    <row r="50" spans="1:23" x14ac:dyDescent="0.3">
      <c r="A50" s="4"/>
      <c r="B50" s="4"/>
      <c r="C50" s="4"/>
      <c r="D50" s="4"/>
      <c r="E50" s="4"/>
      <c r="F50" s="4"/>
      <c r="G50" s="4"/>
      <c r="H50" s="4"/>
      <c r="I50" s="4"/>
      <c r="J50" s="4"/>
      <c r="K50" s="4"/>
      <c r="L50" s="4"/>
      <c r="M50" s="4"/>
      <c r="N50" s="4"/>
      <c r="O50" s="4"/>
      <c r="P50" s="4"/>
      <c r="Q50" s="4"/>
      <c r="R50" s="4"/>
      <c r="S50" s="4"/>
      <c r="T50" s="4"/>
      <c r="U50" s="4"/>
      <c r="V50" s="4"/>
      <c r="W50" s="4"/>
    </row>
    <row r="51" spans="1:23" x14ac:dyDescent="0.3">
      <c r="A51" s="4"/>
      <c r="B51" s="4"/>
      <c r="C51" s="4"/>
      <c r="D51" s="4"/>
      <c r="E51" s="4"/>
      <c r="F51" s="4"/>
      <c r="G51" s="4"/>
      <c r="H51" s="4"/>
      <c r="I51" s="4"/>
      <c r="J51" s="4"/>
      <c r="K51" s="4"/>
      <c r="L51" s="4"/>
      <c r="M51" s="4"/>
      <c r="N51" s="4"/>
      <c r="O51" s="4"/>
      <c r="P51" s="4"/>
      <c r="Q51" s="4"/>
      <c r="R51" s="4"/>
      <c r="S51" s="4"/>
      <c r="T51" s="4"/>
      <c r="U51" s="4"/>
      <c r="V51" s="4"/>
      <c r="W51" s="4"/>
    </row>
    <row r="52" spans="1:23" x14ac:dyDescent="0.3">
      <c r="A52" s="4"/>
      <c r="B52" s="4"/>
      <c r="C52" s="4"/>
      <c r="D52" s="4"/>
      <c r="E52" s="4"/>
      <c r="F52" s="4"/>
      <c r="G52" s="4"/>
      <c r="H52" s="4"/>
      <c r="I52" s="4"/>
      <c r="J52" s="4"/>
      <c r="K52" s="4"/>
      <c r="L52" s="4"/>
      <c r="M52" s="4"/>
      <c r="N52" s="4"/>
      <c r="O52" s="4"/>
      <c r="P52" s="4"/>
      <c r="Q52" s="4"/>
      <c r="R52" s="4"/>
      <c r="S52" s="4"/>
      <c r="T52" s="4"/>
      <c r="U52" s="4"/>
      <c r="V52" s="4"/>
      <c r="W52" s="4"/>
    </row>
    <row r="53" spans="1:23" x14ac:dyDescent="0.3">
      <c r="A53" s="4"/>
      <c r="B53" s="4"/>
      <c r="C53" s="4"/>
      <c r="D53" s="4"/>
      <c r="E53" s="4"/>
      <c r="F53" s="4"/>
      <c r="G53" s="4"/>
      <c r="H53" s="4"/>
      <c r="I53" s="4"/>
      <c r="J53" s="4"/>
      <c r="K53" s="4"/>
      <c r="L53" s="4"/>
      <c r="M53" s="4"/>
      <c r="N53" s="4"/>
      <c r="O53" s="4"/>
      <c r="P53" s="4"/>
      <c r="Q53" s="4"/>
      <c r="R53" s="4"/>
      <c r="S53" s="4"/>
      <c r="T53" s="4"/>
      <c r="U53" s="4"/>
      <c r="V53" s="4"/>
      <c r="W53" s="4"/>
    </row>
    <row r="54" spans="1:23" x14ac:dyDescent="0.3">
      <c r="A54" s="4"/>
      <c r="B54" s="4"/>
      <c r="C54" s="4"/>
      <c r="D54" s="4"/>
      <c r="E54" s="4"/>
      <c r="F54" s="4"/>
      <c r="G54" s="4"/>
      <c r="H54" s="4"/>
      <c r="I54" s="4"/>
      <c r="J54" s="4"/>
      <c r="K54" s="4"/>
      <c r="L54" s="4"/>
      <c r="M54" s="4"/>
      <c r="N54" s="4"/>
      <c r="O54" s="4"/>
      <c r="P54" s="4"/>
      <c r="Q54" s="4"/>
      <c r="R54" s="4"/>
      <c r="S54" s="4"/>
      <c r="T54" s="4"/>
      <c r="U54" s="4"/>
      <c r="V54" s="4"/>
      <c r="W54" s="4"/>
    </row>
    <row r="55" spans="1:23" x14ac:dyDescent="0.3">
      <c r="A55" s="4"/>
      <c r="B55" s="4"/>
      <c r="C55" s="4"/>
      <c r="D55" s="4"/>
      <c r="E55" s="4"/>
      <c r="F55" s="4"/>
      <c r="G55" s="4"/>
      <c r="H55" s="4"/>
      <c r="I55" s="4"/>
      <c r="J55" s="4"/>
      <c r="K55" s="4"/>
      <c r="L55" s="4"/>
      <c r="M55" s="4"/>
      <c r="N55" s="4"/>
      <c r="O55" s="4"/>
      <c r="P55" s="4"/>
      <c r="Q55" s="4"/>
      <c r="R55" s="4"/>
      <c r="S55" s="4"/>
      <c r="T55" s="4"/>
      <c r="U55" s="4"/>
      <c r="V55" s="4"/>
      <c r="W55" s="4"/>
    </row>
    <row r="56" spans="1:23" x14ac:dyDescent="0.3">
      <c r="A56" s="4"/>
      <c r="B56" s="4"/>
      <c r="C56" s="4"/>
      <c r="D56" s="4"/>
      <c r="E56" s="4"/>
      <c r="F56" s="4"/>
      <c r="G56" s="4"/>
      <c r="H56" s="4"/>
      <c r="I56" s="4"/>
      <c r="J56" s="4"/>
      <c r="K56" s="4"/>
      <c r="L56" s="4"/>
      <c r="M56" s="4"/>
      <c r="N56" s="4"/>
      <c r="O56" s="4"/>
      <c r="P56" s="4"/>
      <c r="Q56" s="4"/>
      <c r="R56" s="4"/>
      <c r="S56" s="4"/>
      <c r="T56" s="4"/>
      <c r="U56" s="4"/>
      <c r="V56" s="4"/>
      <c r="W56" s="4"/>
    </row>
    <row r="57" spans="1:23" x14ac:dyDescent="0.3">
      <c r="A57" s="4"/>
      <c r="B57" s="4"/>
      <c r="C57" s="4"/>
      <c r="D57" s="4"/>
      <c r="E57" s="4"/>
      <c r="F57" s="4"/>
      <c r="G57" s="4"/>
      <c r="H57" s="4"/>
      <c r="I57" s="4"/>
      <c r="J57" s="4"/>
      <c r="K57" s="4"/>
      <c r="L57" s="4"/>
      <c r="M57" s="4"/>
      <c r="N57" s="4"/>
      <c r="O57" s="4"/>
      <c r="P57" s="4"/>
      <c r="Q57" s="4"/>
      <c r="R57" s="4"/>
      <c r="S57" s="4"/>
      <c r="T57" s="4"/>
      <c r="U57" s="4"/>
      <c r="V57" s="4"/>
      <c r="W57" s="4"/>
    </row>
    <row r="58" spans="1:23" x14ac:dyDescent="0.3">
      <c r="A58" s="4"/>
      <c r="B58" s="4"/>
      <c r="C58" s="4"/>
      <c r="D58" s="4"/>
      <c r="E58" s="4"/>
      <c r="F58" s="4"/>
      <c r="G58" s="4"/>
      <c r="H58" s="4"/>
      <c r="I58" s="4"/>
      <c r="J58" s="4"/>
      <c r="K58" s="4"/>
      <c r="L58" s="4"/>
      <c r="M58" s="4"/>
      <c r="N58" s="4"/>
      <c r="O58" s="4"/>
      <c r="P58" s="4"/>
      <c r="Q58" s="4"/>
      <c r="R58" s="4"/>
      <c r="S58" s="4"/>
      <c r="T58" s="4"/>
      <c r="U58" s="4"/>
      <c r="V58" s="4"/>
      <c r="W58" s="4"/>
    </row>
    <row r="59" spans="1:23" x14ac:dyDescent="0.3">
      <c r="A59" s="4"/>
      <c r="B59" s="4"/>
      <c r="C59" s="4"/>
      <c r="D59" s="4"/>
      <c r="E59" s="4"/>
      <c r="F59" s="4"/>
      <c r="G59" s="4"/>
      <c r="H59" s="4"/>
      <c r="I59" s="4"/>
      <c r="J59" s="4"/>
      <c r="K59" s="4"/>
      <c r="L59" s="4"/>
      <c r="M59" s="4"/>
      <c r="N59" s="4"/>
      <c r="O59" s="4"/>
      <c r="P59" s="4"/>
      <c r="Q59" s="4"/>
      <c r="R59" s="4"/>
      <c r="S59" s="4"/>
      <c r="T59" s="4"/>
      <c r="U59" s="4"/>
      <c r="V59" s="4"/>
      <c r="W59" s="4"/>
    </row>
    <row r="60" spans="1:23" x14ac:dyDescent="0.3">
      <c r="A60" s="4"/>
      <c r="B60" s="4"/>
      <c r="C60" s="4"/>
      <c r="D60" s="4"/>
      <c r="E60" s="4"/>
      <c r="F60" s="4"/>
      <c r="G60" s="4"/>
      <c r="H60" s="4"/>
      <c r="I60" s="4"/>
      <c r="J60" s="4"/>
      <c r="K60" s="4"/>
      <c r="L60" s="4"/>
      <c r="M60" s="4"/>
      <c r="N60" s="4"/>
      <c r="O60" s="4"/>
      <c r="P60" s="4"/>
      <c r="Q60" s="4"/>
      <c r="R60" s="4"/>
      <c r="S60" s="4"/>
      <c r="T60" s="4"/>
      <c r="U60" s="4"/>
      <c r="V60" s="4"/>
      <c r="W60" s="4"/>
    </row>
    <row r="61" spans="1:23" x14ac:dyDescent="0.3">
      <c r="A61" s="4"/>
      <c r="B61" s="4"/>
      <c r="C61" s="4"/>
      <c r="D61" s="4"/>
      <c r="E61" s="4"/>
      <c r="F61" s="4"/>
      <c r="G61" s="4"/>
      <c r="H61" s="4"/>
      <c r="I61" s="4"/>
      <c r="J61" s="4"/>
      <c r="K61" s="4"/>
      <c r="L61" s="4"/>
      <c r="M61" s="4"/>
      <c r="N61" s="4"/>
      <c r="O61" s="4"/>
      <c r="P61" s="4"/>
      <c r="Q61" s="4"/>
      <c r="R61" s="4"/>
      <c r="S61" s="4"/>
      <c r="T61" s="4"/>
      <c r="U61" s="4"/>
      <c r="V61" s="4"/>
      <c r="W61" s="4"/>
    </row>
    <row r="62" spans="1:23" x14ac:dyDescent="0.3">
      <c r="A62" s="4"/>
      <c r="B62" s="4"/>
      <c r="C62" s="4"/>
      <c r="D62" s="4"/>
      <c r="E62" s="4"/>
      <c r="F62" s="4"/>
      <c r="G62" s="4"/>
      <c r="H62" s="4"/>
      <c r="I62" s="4"/>
      <c r="J62" s="4"/>
      <c r="K62" s="4"/>
      <c r="L62" s="4"/>
      <c r="M62" s="4"/>
      <c r="N62" s="4"/>
      <c r="O62" s="4"/>
      <c r="P62" s="4"/>
      <c r="Q62" s="4"/>
      <c r="R62" s="4"/>
      <c r="S62" s="4"/>
      <c r="T62" s="4"/>
      <c r="U62" s="4"/>
      <c r="V62" s="4"/>
      <c r="W62" s="4"/>
    </row>
    <row r="63" spans="1:23" x14ac:dyDescent="0.3">
      <c r="A63" s="4"/>
      <c r="B63" s="4"/>
      <c r="C63" s="4"/>
      <c r="D63" s="4"/>
      <c r="E63" s="4"/>
      <c r="F63" s="4"/>
      <c r="G63" s="4"/>
      <c r="H63" s="4"/>
      <c r="I63" s="4"/>
      <c r="J63" s="4"/>
      <c r="K63" s="4"/>
      <c r="L63" s="4"/>
      <c r="M63" s="4"/>
      <c r="N63" s="4"/>
      <c r="O63" s="4"/>
      <c r="P63" s="4"/>
      <c r="Q63" s="4"/>
      <c r="R63" s="4"/>
      <c r="S63" s="4"/>
      <c r="T63" s="4"/>
      <c r="U63" s="4"/>
      <c r="V63" s="4"/>
      <c r="W63" s="4"/>
    </row>
    <row r="64" spans="1:23" x14ac:dyDescent="0.3">
      <c r="A64" s="4"/>
      <c r="B64" s="4"/>
      <c r="C64" s="4"/>
      <c r="D64" s="4"/>
      <c r="E64" s="4"/>
      <c r="F64" s="4"/>
      <c r="G64" s="4"/>
      <c r="H64" s="4"/>
      <c r="I64" s="4"/>
      <c r="J64" s="4"/>
      <c r="K64" s="4"/>
      <c r="L64" s="4"/>
      <c r="M64" s="4"/>
      <c r="N64" s="4"/>
      <c r="O64" s="4"/>
      <c r="P64" s="4"/>
      <c r="Q64" s="4"/>
      <c r="R64" s="4"/>
      <c r="S64" s="4"/>
      <c r="T64" s="4"/>
      <c r="U64" s="4"/>
      <c r="V64" s="4"/>
      <c r="W64" s="4"/>
    </row>
    <row r="65" spans="1:23" x14ac:dyDescent="0.3">
      <c r="A65" s="4"/>
      <c r="B65" s="4"/>
      <c r="C65" s="4"/>
      <c r="D65" s="4"/>
      <c r="E65" s="4"/>
      <c r="F65" s="4"/>
      <c r="G65" s="4"/>
      <c r="H65" s="4"/>
      <c r="I65" s="4"/>
      <c r="J65" s="4"/>
      <c r="K65" s="4"/>
      <c r="L65" s="4"/>
      <c r="M65" s="4"/>
      <c r="N65" s="4"/>
      <c r="O65" s="4"/>
      <c r="P65" s="4"/>
      <c r="Q65" s="4"/>
      <c r="R65" s="4"/>
      <c r="S65" s="4"/>
      <c r="T65" s="4"/>
      <c r="U65" s="4"/>
      <c r="V65" s="4"/>
      <c r="W65" s="4"/>
    </row>
    <row r="66" spans="1:23" x14ac:dyDescent="0.3">
      <c r="A66" s="4"/>
      <c r="B66" s="4"/>
      <c r="C66" s="4"/>
      <c r="D66" s="4"/>
      <c r="E66" s="4"/>
      <c r="F66" s="4"/>
      <c r="G66" s="4"/>
      <c r="H66" s="4"/>
      <c r="I66" s="4"/>
      <c r="J66" s="4"/>
      <c r="K66" s="4"/>
      <c r="L66" s="4"/>
      <c r="M66" s="4"/>
      <c r="N66" s="4"/>
      <c r="O66" s="4"/>
      <c r="P66" s="4"/>
      <c r="Q66" s="4"/>
      <c r="R66" s="4"/>
      <c r="S66" s="4"/>
      <c r="T66" s="4"/>
      <c r="U66" s="4"/>
      <c r="V66" s="4"/>
      <c r="W66" s="4"/>
    </row>
    <row r="67" spans="1:23" x14ac:dyDescent="0.3">
      <c r="A67" s="4"/>
      <c r="B67" s="4"/>
      <c r="C67" s="4"/>
      <c r="D67" s="4"/>
      <c r="E67" s="4"/>
      <c r="F67" s="4"/>
      <c r="G67" s="4"/>
      <c r="H67" s="4"/>
      <c r="I67" s="4"/>
      <c r="J67" s="4"/>
      <c r="K67" s="4"/>
      <c r="L67" s="4"/>
      <c r="M67" s="4"/>
      <c r="N67" s="4"/>
      <c r="O67" s="4"/>
      <c r="P67" s="4"/>
      <c r="Q67" s="4"/>
      <c r="R67" s="4"/>
      <c r="S67" s="4"/>
      <c r="T67" s="4"/>
      <c r="U67" s="4"/>
      <c r="V67" s="4"/>
      <c r="W67" s="4"/>
    </row>
    <row r="68" spans="1:23" x14ac:dyDescent="0.3">
      <c r="A68" s="4"/>
      <c r="B68" s="4"/>
      <c r="C68" s="4"/>
      <c r="D68" s="4"/>
      <c r="E68" s="4"/>
      <c r="F68" s="4"/>
      <c r="G68" s="4"/>
      <c r="H68" s="4"/>
      <c r="I68" s="4"/>
      <c r="J68" s="4"/>
      <c r="K68" s="4"/>
      <c r="L68" s="4"/>
      <c r="M68" s="4"/>
      <c r="N68" s="4"/>
      <c r="O68" s="4"/>
      <c r="P68" s="4"/>
      <c r="Q68" s="4"/>
      <c r="R68" s="4"/>
      <c r="S68" s="4"/>
      <c r="T68" s="4"/>
      <c r="U68" s="4"/>
      <c r="V68" s="4"/>
      <c r="W68" s="4"/>
    </row>
    <row r="69" spans="1:23" x14ac:dyDescent="0.3">
      <c r="A69" s="4"/>
      <c r="B69" s="4"/>
      <c r="C69" s="4"/>
      <c r="D69" s="4"/>
      <c r="E69" s="4"/>
      <c r="F69" s="4"/>
      <c r="G69" s="4"/>
      <c r="H69" s="4"/>
      <c r="I69" s="4"/>
      <c r="J69" s="4"/>
      <c r="K69" s="4"/>
      <c r="L69" s="4"/>
      <c r="M69" s="4"/>
      <c r="N69" s="4"/>
      <c r="O69" s="4"/>
      <c r="P69" s="4"/>
      <c r="Q69" s="4"/>
      <c r="R69" s="4"/>
      <c r="S69" s="4"/>
      <c r="T69" s="4"/>
      <c r="U69" s="4"/>
      <c r="V69" s="4"/>
      <c r="W69" s="4"/>
    </row>
    <row r="70" spans="1:23" x14ac:dyDescent="0.3">
      <c r="A70" s="4"/>
      <c r="B70" s="4"/>
      <c r="C70" s="4"/>
      <c r="D70" s="4"/>
      <c r="E70" s="4"/>
      <c r="F70" s="4"/>
      <c r="G70" s="4"/>
      <c r="H70" s="4"/>
      <c r="I70" s="4"/>
      <c r="J70" s="4"/>
      <c r="K70" s="4"/>
      <c r="L70" s="4"/>
      <c r="M70" s="4"/>
      <c r="N70" s="4"/>
      <c r="O70" s="4"/>
      <c r="P70" s="4"/>
      <c r="Q70" s="4"/>
      <c r="R70" s="4"/>
      <c r="S70" s="4"/>
      <c r="T70" s="4"/>
      <c r="U70" s="4"/>
      <c r="V70" s="4"/>
      <c r="W70" s="4"/>
    </row>
    <row r="71" spans="1:23" x14ac:dyDescent="0.3">
      <c r="A71" s="4"/>
      <c r="B71" s="4"/>
      <c r="C71" s="4"/>
      <c r="D71" s="4"/>
      <c r="E71" s="4"/>
      <c r="F71" s="4"/>
      <c r="G71" s="4"/>
      <c r="H71" s="4"/>
      <c r="I71" s="4"/>
      <c r="J71" s="4"/>
      <c r="K71" s="4"/>
      <c r="L71" s="4"/>
      <c r="M71" s="4"/>
      <c r="N71" s="4"/>
      <c r="O71" s="4"/>
      <c r="P71" s="4"/>
      <c r="Q71" s="4"/>
      <c r="R71" s="4"/>
      <c r="S71" s="4"/>
      <c r="T71" s="4"/>
      <c r="U71" s="4"/>
      <c r="V71" s="4"/>
      <c r="W71" s="4"/>
    </row>
    <row r="72" spans="1:23" x14ac:dyDescent="0.3">
      <c r="A72" s="4"/>
      <c r="B72" s="4"/>
      <c r="C72" s="4"/>
      <c r="D72" s="4"/>
      <c r="E72" s="4"/>
      <c r="F72" s="4"/>
      <c r="G72" s="4"/>
      <c r="H72" s="4"/>
      <c r="I72" s="4"/>
      <c r="J72" s="4"/>
      <c r="K72" s="4"/>
      <c r="L72" s="4"/>
      <c r="M72" s="4"/>
      <c r="N72" s="4"/>
      <c r="O72" s="4"/>
      <c r="P72" s="4"/>
      <c r="Q72" s="4"/>
      <c r="R72" s="4"/>
      <c r="S72" s="4"/>
      <c r="T72" s="4"/>
      <c r="U72" s="4"/>
      <c r="V72" s="4"/>
      <c r="W72" s="4"/>
    </row>
    <row r="73" spans="1:23" x14ac:dyDescent="0.3">
      <c r="A73" s="4"/>
      <c r="B73" s="4"/>
      <c r="C73" s="4"/>
      <c r="D73" s="4"/>
      <c r="E73" s="4"/>
      <c r="F73" s="4"/>
      <c r="G73" s="4"/>
      <c r="H73" s="4"/>
      <c r="I73" s="4"/>
      <c r="J73" s="4"/>
      <c r="K73" s="4"/>
      <c r="L73" s="4"/>
      <c r="M73" s="4"/>
      <c r="N73" s="4"/>
      <c r="O73" s="4"/>
      <c r="P73" s="4"/>
      <c r="Q73" s="4"/>
      <c r="R73" s="4"/>
      <c r="S73" s="4"/>
      <c r="T73" s="4"/>
      <c r="U73" s="4"/>
      <c r="V73" s="4"/>
      <c r="W73" s="4"/>
    </row>
    <row r="74" spans="1:23" x14ac:dyDescent="0.3">
      <c r="A74" s="4"/>
      <c r="B74" s="4"/>
      <c r="C74" s="4"/>
      <c r="D74" s="4"/>
      <c r="E74" s="4"/>
      <c r="F74" s="4"/>
      <c r="G74" s="4"/>
      <c r="H74" s="4"/>
      <c r="I74" s="4"/>
      <c r="J74" s="4"/>
      <c r="K74" s="4"/>
      <c r="L74" s="4"/>
      <c r="M74" s="4"/>
      <c r="N74" s="4"/>
      <c r="O74" s="4"/>
      <c r="P74" s="4"/>
      <c r="Q74" s="4"/>
      <c r="R74" s="4"/>
      <c r="S74" s="4"/>
      <c r="T74" s="4"/>
      <c r="U74" s="4"/>
      <c r="V74" s="4"/>
      <c r="W74" s="4"/>
    </row>
    <row r="75" spans="1:23" x14ac:dyDescent="0.3">
      <c r="A75" s="4"/>
      <c r="B75" s="4"/>
      <c r="C75" s="4"/>
      <c r="D75" s="4"/>
      <c r="E75" s="4"/>
      <c r="F75" s="4"/>
      <c r="G75" s="4"/>
      <c r="H75" s="4"/>
      <c r="I75" s="4"/>
      <c r="J75" s="4"/>
      <c r="K75" s="4"/>
      <c r="L75" s="4"/>
      <c r="M75" s="4"/>
      <c r="N75" s="4"/>
      <c r="O75" s="4"/>
      <c r="P75" s="4"/>
      <c r="Q75" s="4"/>
      <c r="R75" s="4"/>
      <c r="S75" s="4"/>
      <c r="T75" s="4"/>
      <c r="U75" s="4"/>
      <c r="V75" s="4"/>
      <c r="W75" s="4"/>
    </row>
    <row r="76" spans="1:23" x14ac:dyDescent="0.3">
      <c r="A76" s="4"/>
      <c r="B76" s="4"/>
      <c r="C76" s="4"/>
      <c r="D76" s="4"/>
      <c r="E76" s="4"/>
      <c r="F76" s="4"/>
      <c r="G76" s="4"/>
      <c r="H76" s="4"/>
      <c r="I76" s="4"/>
      <c r="J76" s="4"/>
      <c r="K76" s="4"/>
      <c r="L76" s="4"/>
      <c r="M76" s="4"/>
      <c r="N76" s="4"/>
      <c r="O76" s="4"/>
      <c r="P76" s="4"/>
      <c r="Q76" s="4"/>
      <c r="R76" s="4"/>
      <c r="S76" s="4"/>
      <c r="T76" s="4"/>
      <c r="U76" s="4"/>
      <c r="V76" s="4"/>
      <c r="W76" s="4"/>
    </row>
    <row r="77" spans="1:23" x14ac:dyDescent="0.3">
      <c r="A77" s="4"/>
      <c r="B77" s="4"/>
      <c r="C77" s="4"/>
      <c r="D77" s="4"/>
      <c r="E77" s="4"/>
      <c r="F77" s="4"/>
      <c r="G77" s="4"/>
      <c r="H77" s="4"/>
      <c r="I77" s="4"/>
      <c r="J77" s="4"/>
      <c r="K77" s="4"/>
      <c r="L77" s="4"/>
      <c r="M77" s="4"/>
      <c r="N77" s="4"/>
      <c r="O77" s="4"/>
      <c r="P77" s="4"/>
      <c r="Q77" s="4"/>
      <c r="R77" s="4"/>
      <c r="S77" s="4"/>
      <c r="T77" s="4"/>
      <c r="U77" s="4"/>
      <c r="V77" s="4"/>
      <c r="W77" s="4"/>
    </row>
    <row r="78" spans="1:23" x14ac:dyDescent="0.3">
      <c r="A78" s="4"/>
      <c r="B78" s="4"/>
      <c r="C78" s="4"/>
      <c r="D78" s="4"/>
      <c r="E78" s="4"/>
      <c r="F78" s="4"/>
      <c r="G78" s="4"/>
      <c r="H78" s="4"/>
      <c r="I78" s="4"/>
      <c r="J78" s="4"/>
      <c r="K78" s="4"/>
      <c r="L78" s="4"/>
      <c r="M78" s="4"/>
      <c r="N78" s="4"/>
      <c r="O78" s="4"/>
      <c r="P78" s="4"/>
      <c r="Q78" s="4"/>
      <c r="R78" s="4"/>
      <c r="S78" s="4"/>
      <c r="T78" s="4"/>
      <c r="U78" s="4"/>
      <c r="V78" s="4"/>
      <c r="W78" s="4"/>
    </row>
    <row r="79" spans="1:23" x14ac:dyDescent="0.3">
      <c r="A79" s="4"/>
      <c r="B79" s="4"/>
      <c r="C79" s="4"/>
      <c r="D79" s="4"/>
      <c r="E79" s="4"/>
      <c r="F79" s="4"/>
      <c r="G79" s="4"/>
      <c r="H79" s="4"/>
      <c r="I79" s="4"/>
      <c r="J79" s="4"/>
      <c r="K79" s="4"/>
      <c r="L79" s="4"/>
      <c r="M79" s="4"/>
      <c r="N79" s="4"/>
      <c r="O79" s="4"/>
      <c r="P79" s="4"/>
      <c r="Q79" s="4"/>
      <c r="R79" s="4"/>
      <c r="S79" s="4"/>
      <c r="T79" s="4"/>
      <c r="U79" s="4"/>
      <c r="V79" s="4"/>
      <c r="W79" s="4"/>
    </row>
    <row r="80" spans="1:23" x14ac:dyDescent="0.3">
      <c r="A80" s="4"/>
      <c r="B80" s="4"/>
      <c r="C80" s="4"/>
      <c r="D80" s="4"/>
      <c r="E80" s="4"/>
      <c r="F80" s="4"/>
      <c r="G80" s="4"/>
      <c r="H80" s="4"/>
      <c r="I80" s="4"/>
      <c r="J80" s="4"/>
      <c r="K80" s="4"/>
      <c r="L80" s="4"/>
      <c r="M80" s="4"/>
      <c r="N80" s="4"/>
      <c r="O80" s="4"/>
      <c r="P80" s="4"/>
      <c r="Q80" s="4"/>
      <c r="R80" s="4"/>
      <c r="S80" s="4"/>
      <c r="T80" s="4"/>
      <c r="U80" s="4"/>
      <c r="V80" s="4"/>
      <c r="W80" s="4"/>
    </row>
    <row r="81" spans="1:23" x14ac:dyDescent="0.3">
      <c r="A81" s="4"/>
      <c r="B81" s="4"/>
      <c r="C81" s="4"/>
      <c r="D81" s="4"/>
      <c r="E81" s="4"/>
      <c r="F81" s="4"/>
      <c r="G81" s="4"/>
      <c r="H81" s="4"/>
      <c r="I81" s="4"/>
      <c r="J81" s="4"/>
      <c r="K81" s="4"/>
      <c r="L81" s="4"/>
      <c r="M81" s="4"/>
      <c r="N81" s="4"/>
      <c r="O81" s="4"/>
      <c r="P81" s="4"/>
      <c r="Q81" s="4"/>
      <c r="R81" s="4"/>
      <c r="S81" s="4"/>
      <c r="T81" s="4"/>
      <c r="U81" s="4"/>
      <c r="V81" s="4"/>
      <c r="W81" s="4"/>
    </row>
    <row r="82" spans="1:23" x14ac:dyDescent="0.3">
      <c r="A82" s="4"/>
      <c r="B82" s="4"/>
      <c r="C82" s="4"/>
      <c r="D82" s="4"/>
      <c r="E82" s="4"/>
      <c r="F82" s="4"/>
      <c r="G82" s="4"/>
      <c r="H82" s="4"/>
      <c r="I82" s="4"/>
      <c r="J82" s="4"/>
      <c r="K82" s="4"/>
      <c r="L82" s="4"/>
      <c r="M82" s="4"/>
      <c r="N82" s="4"/>
      <c r="O82" s="4"/>
      <c r="P82" s="4"/>
      <c r="Q82" s="4"/>
      <c r="R82" s="4"/>
      <c r="S82" s="4"/>
      <c r="T82" s="4"/>
      <c r="U82" s="4"/>
      <c r="V82" s="4"/>
      <c r="W82" s="4"/>
    </row>
    <row r="83" spans="1:23" x14ac:dyDescent="0.3">
      <c r="A83" s="4"/>
      <c r="B83" s="4"/>
      <c r="C83" s="4"/>
      <c r="D83" s="4"/>
      <c r="E83" s="4"/>
      <c r="F83" s="4"/>
      <c r="G83" s="4"/>
      <c r="H83" s="4"/>
      <c r="I83" s="4"/>
      <c r="J83" s="4"/>
      <c r="K83" s="4"/>
      <c r="L83" s="4"/>
      <c r="M83" s="4"/>
      <c r="N83" s="4"/>
      <c r="O83" s="4"/>
      <c r="P83" s="4"/>
      <c r="Q83" s="4"/>
      <c r="R83" s="4"/>
      <c r="S83" s="4"/>
      <c r="T83" s="4"/>
      <c r="U83" s="4"/>
      <c r="V83" s="4"/>
      <c r="W83" s="4"/>
    </row>
    <row r="84" spans="1:23" x14ac:dyDescent="0.3">
      <c r="A84" s="4"/>
      <c r="B84" s="4"/>
      <c r="C84" s="4"/>
      <c r="D84" s="4"/>
      <c r="E84" s="4"/>
      <c r="F84" s="4"/>
      <c r="G84" s="4"/>
      <c r="H84" s="4"/>
      <c r="I84" s="4"/>
      <c r="J84" s="4"/>
      <c r="K84" s="4"/>
      <c r="L84" s="4"/>
      <c r="M84" s="4"/>
      <c r="N84" s="4"/>
      <c r="O84" s="4"/>
      <c r="P84" s="4"/>
      <c r="Q84" s="4"/>
      <c r="R84" s="4"/>
      <c r="S84" s="4"/>
      <c r="T84" s="4"/>
      <c r="U84" s="4"/>
      <c r="V84" s="4"/>
      <c r="W84" s="4"/>
    </row>
    <row r="85" spans="1:23" x14ac:dyDescent="0.3">
      <c r="A85" s="4"/>
      <c r="B85" s="4"/>
      <c r="C85" s="4"/>
      <c r="D85" s="4"/>
      <c r="E85" s="4"/>
      <c r="F85" s="4"/>
      <c r="G85" s="4"/>
      <c r="H85" s="4"/>
      <c r="I85" s="4"/>
      <c r="J85" s="4"/>
      <c r="K85" s="4"/>
      <c r="L85" s="4"/>
      <c r="M85" s="4"/>
      <c r="N85" s="4"/>
      <c r="O85" s="4"/>
      <c r="P85" s="4"/>
      <c r="Q85" s="4"/>
      <c r="R85" s="4"/>
      <c r="S85" s="4"/>
      <c r="T85" s="4"/>
      <c r="U85" s="4"/>
      <c r="V85" s="4"/>
      <c r="W85" s="4"/>
    </row>
    <row r="86" spans="1:23" x14ac:dyDescent="0.3">
      <c r="A86" s="4"/>
      <c r="B86" s="4"/>
      <c r="C86" s="4"/>
      <c r="D86" s="4"/>
      <c r="E86" s="4"/>
      <c r="F86" s="4"/>
      <c r="G86" s="4"/>
      <c r="H86" s="4"/>
      <c r="I86" s="4"/>
      <c r="J86" s="4"/>
      <c r="K86" s="4"/>
      <c r="L86" s="4"/>
      <c r="M86" s="4"/>
      <c r="N86" s="4"/>
      <c r="O86" s="4"/>
      <c r="P86" s="4"/>
      <c r="Q86" s="4"/>
      <c r="R86" s="4"/>
      <c r="S86" s="4"/>
      <c r="T86" s="4"/>
      <c r="U86" s="4"/>
      <c r="V86" s="4"/>
      <c r="W86" s="4"/>
    </row>
    <row r="87" spans="1:23" x14ac:dyDescent="0.3">
      <c r="A87" s="4"/>
      <c r="B87" s="4"/>
      <c r="C87" s="4"/>
      <c r="D87" s="4"/>
      <c r="E87" s="4"/>
      <c r="F87" s="4"/>
      <c r="G87" s="4"/>
      <c r="H87" s="4"/>
      <c r="I87" s="4"/>
      <c r="J87" s="4"/>
      <c r="K87" s="4"/>
      <c r="L87" s="4"/>
      <c r="M87" s="4"/>
      <c r="N87" s="4"/>
      <c r="O87" s="4"/>
      <c r="P87" s="4"/>
      <c r="Q87" s="4"/>
      <c r="R87" s="4"/>
      <c r="S87" s="4"/>
      <c r="T87" s="4"/>
      <c r="U87" s="4"/>
      <c r="V87" s="4"/>
      <c r="W87" s="4"/>
    </row>
    <row r="88" spans="1:23" x14ac:dyDescent="0.3">
      <c r="A88" s="4"/>
      <c r="B88" s="4"/>
      <c r="C88" s="4"/>
      <c r="D88" s="4"/>
      <c r="E88" s="4"/>
      <c r="F88" s="4"/>
      <c r="G88" s="4"/>
      <c r="H88" s="4"/>
      <c r="I88" s="4"/>
      <c r="J88" s="4"/>
      <c r="K88" s="4"/>
      <c r="L88" s="4"/>
      <c r="M88" s="4"/>
      <c r="N88" s="4"/>
      <c r="O88" s="4"/>
      <c r="P88" s="4"/>
      <c r="Q88" s="4"/>
      <c r="R88" s="4"/>
      <c r="S88" s="4"/>
      <c r="T88" s="4"/>
      <c r="U88" s="4"/>
      <c r="V88" s="4"/>
      <c r="W88" s="4"/>
    </row>
    <row r="89" spans="1:23" x14ac:dyDescent="0.3">
      <c r="A89" s="4"/>
      <c r="B89" s="4"/>
      <c r="C89" s="4"/>
      <c r="D89" s="4"/>
      <c r="E89" s="4"/>
      <c r="F89" s="4"/>
      <c r="G89" s="4"/>
      <c r="H89" s="4"/>
      <c r="I89" s="4"/>
      <c r="J89" s="4"/>
      <c r="K89" s="4"/>
      <c r="L89" s="4"/>
      <c r="M89" s="4"/>
      <c r="N89" s="4"/>
      <c r="O89" s="4"/>
      <c r="P89" s="4"/>
      <c r="Q89" s="4"/>
      <c r="R89" s="4"/>
      <c r="S89" s="4"/>
      <c r="T89" s="4"/>
      <c r="U89" s="4"/>
      <c r="V89" s="4"/>
      <c r="W89" s="4"/>
    </row>
    <row r="90" spans="1:23" x14ac:dyDescent="0.3">
      <c r="A90" s="4"/>
      <c r="B90" s="4"/>
      <c r="C90" s="4"/>
      <c r="D90" s="4"/>
      <c r="E90" s="4"/>
      <c r="F90" s="4"/>
      <c r="G90" s="4"/>
      <c r="H90" s="4"/>
      <c r="I90" s="4"/>
      <c r="J90" s="4"/>
      <c r="K90" s="4"/>
      <c r="L90" s="4"/>
      <c r="M90" s="4"/>
      <c r="N90" s="4"/>
      <c r="O90" s="4"/>
      <c r="P90" s="4"/>
      <c r="Q90" s="4"/>
      <c r="R90" s="4"/>
      <c r="S90" s="4"/>
      <c r="T90" s="4"/>
      <c r="U90" s="4"/>
      <c r="V90" s="4"/>
      <c r="W90" s="4"/>
    </row>
    <row r="91" spans="1:23" x14ac:dyDescent="0.3">
      <c r="A91" s="4"/>
      <c r="B91" s="4"/>
      <c r="C91" s="4"/>
      <c r="D91" s="4"/>
      <c r="E91" s="4"/>
      <c r="F91" s="4"/>
      <c r="G91" s="4"/>
      <c r="H91" s="4"/>
      <c r="I91" s="4"/>
      <c r="J91" s="4"/>
      <c r="K91" s="4"/>
      <c r="L91" s="4"/>
      <c r="M91" s="4"/>
      <c r="N91" s="4"/>
      <c r="O91" s="4"/>
      <c r="P91" s="4"/>
      <c r="Q91" s="4"/>
      <c r="R91" s="4"/>
      <c r="S91" s="4"/>
      <c r="T91" s="4"/>
      <c r="U91" s="4"/>
      <c r="V91" s="4"/>
      <c r="W91" s="4"/>
    </row>
    <row r="92" spans="1:23" x14ac:dyDescent="0.3">
      <c r="A92" s="4"/>
      <c r="B92" s="4"/>
      <c r="C92" s="4"/>
      <c r="D92" s="4"/>
      <c r="E92" s="4"/>
      <c r="F92" s="4"/>
      <c r="G92" s="4"/>
      <c r="H92" s="4"/>
      <c r="I92" s="4"/>
      <c r="J92" s="4"/>
      <c r="K92" s="4"/>
      <c r="L92" s="4"/>
      <c r="M92" s="4"/>
      <c r="N92" s="4"/>
      <c r="O92" s="4"/>
      <c r="P92" s="4"/>
      <c r="Q92" s="4"/>
      <c r="R92" s="4"/>
      <c r="S92" s="4"/>
      <c r="T92" s="4"/>
      <c r="U92" s="4"/>
      <c r="V92" s="4"/>
      <c r="W92" s="4"/>
    </row>
    <row r="93" spans="1:23" x14ac:dyDescent="0.3">
      <c r="A93" s="4"/>
      <c r="B93" s="4"/>
      <c r="C93" s="4"/>
      <c r="D93" s="4"/>
      <c r="E93" s="4"/>
      <c r="F93" s="4"/>
      <c r="G93" s="4"/>
      <c r="H93" s="4"/>
      <c r="I93" s="4"/>
      <c r="J93" s="4"/>
      <c r="K93" s="4"/>
      <c r="L93" s="4"/>
      <c r="M93" s="4"/>
      <c r="N93" s="4"/>
      <c r="O93" s="4"/>
      <c r="P93" s="4"/>
      <c r="Q93" s="4"/>
      <c r="R93" s="4"/>
      <c r="S93" s="4"/>
      <c r="T93" s="4"/>
      <c r="U93" s="4"/>
      <c r="V93" s="4"/>
      <c r="W93" s="4"/>
    </row>
    <row r="94" spans="1:23" x14ac:dyDescent="0.3">
      <c r="A94" s="4"/>
      <c r="B94" s="4"/>
      <c r="C94" s="4"/>
      <c r="D94" s="4"/>
      <c r="E94" s="4"/>
      <c r="F94" s="4"/>
      <c r="G94" s="4"/>
      <c r="H94" s="4"/>
      <c r="I94" s="4"/>
      <c r="J94" s="4"/>
      <c r="K94" s="4"/>
      <c r="L94" s="4"/>
      <c r="M94" s="4"/>
      <c r="N94" s="4"/>
      <c r="O94" s="4"/>
      <c r="P94" s="4"/>
      <c r="Q94" s="4"/>
      <c r="R94" s="4"/>
      <c r="S94" s="4"/>
      <c r="T94" s="4"/>
      <c r="U94" s="4"/>
      <c r="V94" s="4"/>
      <c r="W94" s="4"/>
    </row>
    <row r="95" spans="1:23" x14ac:dyDescent="0.3">
      <c r="A95" s="4"/>
      <c r="B95" s="4"/>
      <c r="C95" s="4"/>
      <c r="D95" s="4"/>
      <c r="E95" s="4"/>
      <c r="F95" s="4"/>
      <c r="G95" s="4"/>
      <c r="H95" s="4"/>
      <c r="I95" s="4"/>
      <c r="J95" s="4"/>
      <c r="K95" s="4"/>
      <c r="L95" s="4"/>
      <c r="M95" s="4"/>
      <c r="N95" s="4"/>
      <c r="O95" s="4"/>
      <c r="P95" s="4"/>
      <c r="Q95" s="4"/>
      <c r="R95" s="4"/>
      <c r="S95" s="4"/>
      <c r="T95" s="4"/>
      <c r="U95" s="4"/>
      <c r="V95" s="4"/>
      <c r="W95" s="4"/>
    </row>
    <row r="96" spans="1:23" x14ac:dyDescent="0.3">
      <c r="A96" s="4"/>
      <c r="B96" s="4"/>
      <c r="C96" s="4"/>
      <c r="D96" s="4"/>
      <c r="E96" s="4"/>
      <c r="F96" s="4"/>
      <c r="G96" s="4"/>
      <c r="H96" s="4"/>
      <c r="I96" s="4"/>
      <c r="J96" s="4"/>
      <c r="K96" s="4"/>
      <c r="L96" s="4"/>
      <c r="M96" s="4"/>
      <c r="N96" s="4"/>
      <c r="O96" s="4"/>
      <c r="P96" s="4"/>
      <c r="Q96" s="4"/>
      <c r="R96" s="4"/>
      <c r="S96" s="4"/>
      <c r="T96" s="4"/>
      <c r="U96" s="4"/>
      <c r="V96" s="4"/>
      <c r="W96" s="4"/>
    </row>
    <row r="97" spans="1:23" x14ac:dyDescent="0.3">
      <c r="A97" s="4"/>
      <c r="B97" s="4"/>
      <c r="C97" s="4"/>
      <c r="D97" s="4"/>
      <c r="E97" s="4"/>
      <c r="F97" s="4"/>
      <c r="G97" s="4"/>
      <c r="H97" s="4"/>
      <c r="I97" s="4"/>
      <c r="J97" s="4"/>
      <c r="K97" s="4"/>
      <c r="L97" s="4"/>
      <c r="M97" s="4"/>
      <c r="N97" s="4"/>
      <c r="O97" s="4"/>
      <c r="P97" s="4"/>
      <c r="Q97" s="4"/>
      <c r="R97" s="4"/>
      <c r="S97" s="4"/>
      <c r="T97" s="4"/>
      <c r="U97" s="4"/>
      <c r="V97" s="4"/>
      <c r="W97" s="4"/>
    </row>
    <row r="98" spans="1:23" x14ac:dyDescent="0.3">
      <c r="A98" s="4"/>
      <c r="B98" s="4"/>
      <c r="C98" s="4"/>
      <c r="D98" s="4"/>
      <c r="E98" s="4"/>
      <c r="F98" s="4"/>
      <c r="G98" s="4"/>
      <c r="H98" s="4"/>
      <c r="I98" s="4"/>
      <c r="J98" s="4"/>
      <c r="K98" s="4"/>
      <c r="L98" s="4"/>
      <c r="M98" s="4"/>
      <c r="N98" s="4"/>
      <c r="O98" s="4"/>
      <c r="P98" s="4"/>
      <c r="Q98" s="4"/>
      <c r="R98" s="4"/>
      <c r="S98" s="4"/>
      <c r="T98" s="4"/>
      <c r="U98" s="4"/>
      <c r="V98" s="4"/>
      <c r="W98" s="4"/>
    </row>
    <row r="99" spans="1:23" x14ac:dyDescent="0.3">
      <c r="A99" s="4"/>
      <c r="B99" s="4"/>
      <c r="C99" s="4"/>
      <c r="D99" s="4"/>
      <c r="E99" s="4"/>
      <c r="F99" s="4"/>
      <c r="G99" s="4"/>
      <c r="H99" s="4"/>
      <c r="I99" s="4"/>
      <c r="J99" s="4"/>
      <c r="K99" s="4"/>
      <c r="L99" s="4"/>
      <c r="M99" s="4"/>
      <c r="N99" s="4"/>
      <c r="O99" s="4"/>
      <c r="P99" s="4"/>
      <c r="Q99" s="4"/>
      <c r="R99" s="4"/>
      <c r="S99" s="4"/>
      <c r="T99" s="4"/>
      <c r="U99" s="4"/>
      <c r="V99" s="4"/>
      <c r="W99" s="4"/>
    </row>
    <row r="100" spans="1:23" x14ac:dyDescent="0.3">
      <c r="A100" s="4"/>
      <c r="B100" s="4"/>
      <c r="C100" s="4"/>
      <c r="D100" s="4"/>
      <c r="E100" s="4"/>
      <c r="F100" s="4"/>
      <c r="G100" s="4"/>
      <c r="H100" s="4"/>
      <c r="I100" s="4"/>
      <c r="J100" s="4"/>
      <c r="K100" s="4"/>
      <c r="L100" s="4"/>
      <c r="M100" s="4"/>
      <c r="N100" s="4"/>
      <c r="O100" s="4"/>
      <c r="P100" s="4"/>
      <c r="Q100" s="4"/>
      <c r="R100" s="4"/>
      <c r="S100" s="4"/>
      <c r="T100" s="4"/>
      <c r="U100" s="4"/>
      <c r="V100" s="4"/>
      <c r="W100" s="4"/>
    </row>
    <row r="101" spans="1:23" x14ac:dyDescent="0.3">
      <c r="A101" s="4"/>
      <c r="B101" s="4"/>
      <c r="C101" s="4"/>
      <c r="D101" s="4"/>
      <c r="E101" s="4"/>
      <c r="F101" s="4"/>
      <c r="G101" s="4"/>
      <c r="H101" s="4"/>
      <c r="I101" s="4"/>
      <c r="J101" s="4"/>
      <c r="K101" s="4"/>
      <c r="L101" s="4"/>
      <c r="M101" s="4"/>
      <c r="N101" s="4"/>
      <c r="O101" s="4"/>
      <c r="P101" s="4"/>
      <c r="Q101" s="4"/>
      <c r="R101" s="4"/>
      <c r="S101" s="4"/>
      <c r="T101" s="4"/>
      <c r="U101" s="4"/>
      <c r="V101" s="4"/>
      <c r="W101" s="4"/>
    </row>
    <row r="102" spans="1:23" x14ac:dyDescent="0.3">
      <c r="A102" s="4"/>
      <c r="B102" s="4"/>
      <c r="C102" s="4"/>
      <c r="D102" s="4"/>
      <c r="E102" s="4"/>
      <c r="F102" s="4"/>
      <c r="G102" s="4"/>
      <c r="H102" s="4"/>
      <c r="I102" s="4"/>
      <c r="J102" s="4"/>
      <c r="K102" s="4"/>
      <c r="L102" s="4"/>
      <c r="M102" s="4"/>
      <c r="N102" s="4"/>
      <c r="O102" s="4"/>
      <c r="P102" s="4"/>
      <c r="Q102" s="4"/>
      <c r="R102" s="4"/>
      <c r="S102" s="4"/>
      <c r="T102" s="4"/>
      <c r="U102" s="4"/>
      <c r="V102" s="4"/>
      <c r="W102" s="4"/>
    </row>
    <row r="103" spans="1:23" x14ac:dyDescent="0.3">
      <c r="A103" s="4"/>
      <c r="B103" s="4"/>
      <c r="C103" s="4"/>
      <c r="D103" s="4"/>
      <c r="E103" s="4"/>
      <c r="F103" s="4"/>
      <c r="G103" s="4"/>
      <c r="H103" s="4"/>
      <c r="I103" s="4"/>
      <c r="J103" s="4"/>
      <c r="K103" s="4"/>
      <c r="L103" s="4"/>
      <c r="M103" s="4"/>
      <c r="N103" s="4"/>
      <c r="O103" s="4"/>
      <c r="P103" s="4"/>
      <c r="Q103" s="4"/>
      <c r="R103" s="4"/>
      <c r="S103" s="4"/>
      <c r="T103" s="4"/>
      <c r="U103" s="4"/>
      <c r="V103" s="4"/>
      <c r="W103" s="4"/>
    </row>
    <row r="104" spans="1:23" x14ac:dyDescent="0.3">
      <c r="A104" s="4"/>
      <c r="B104" s="4"/>
      <c r="C104" s="4"/>
      <c r="D104" s="4"/>
      <c r="E104" s="4"/>
      <c r="F104" s="4"/>
      <c r="G104" s="4"/>
      <c r="H104" s="4"/>
      <c r="I104" s="4"/>
      <c r="J104" s="4"/>
      <c r="K104" s="4"/>
      <c r="L104" s="4"/>
      <c r="M104" s="4"/>
      <c r="N104" s="4"/>
      <c r="O104" s="4"/>
      <c r="P104" s="4"/>
      <c r="Q104" s="4"/>
      <c r="R104" s="4"/>
      <c r="S104" s="4"/>
      <c r="T104" s="4"/>
      <c r="U104" s="4"/>
      <c r="V104" s="4"/>
      <c r="W104" s="4"/>
    </row>
    <row r="105" spans="1:23" x14ac:dyDescent="0.3">
      <c r="A105" s="4"/>
      <c r="B105" s="4"/>
      <c r="C105" s="4"/>
      <c r="D105" s="4"/>
      <c r="E105" s="4"/>
      <c r="F105" s="4"/>
      <c r="G105" s="4"/>
      <c r="H105" s="4"/>
      <c r="I105" s="4"/>
      <c r="J105" s="4"/>
      <c r="K105" s="4"/>
      <c r="L105" s="4"/>
      <c r="M105" s="4"/>
      <c r="N105" s="4"/>
      <c r="O105" s="4"/>
      <c r="P105" s="4"/>
      <c r="Q105" s="4"/>
      <c r="R105" s="4"/>
      <c r="S105" s="4"/>
      <c r="T105" s="4"/>
      <c r="U105" s="4"/>
      <c r="V105" s="4"/>
      <c r="W105" s="4"/>
    </row>
    <row r="106" spans="1:23" x14ac:dyDescent="0.3">
      <c r="A106" s="4"/>
      <c r="B106" s="4"/>
      <c r="C106" s="4"/>
      <c r="D106" s="4"/>
      <c r="E106" s="4"/>
      <c r="F106" s="4"/>
      <c r="G106" s="4"/>
      <c r="H106" s="4"/>
      <c r="I106" s="4"/>
      <c r="J106" s="4"/>
      <c r="K106" s="4"/>
      <c r="L106" s="4"/>
      <c r="M106" s="4"/>
      <c r="N106" s="4"/>
      <c r="O106" s="4"/>
      <c r="P106" s="4"/>
      <c r="Q106" s="4"/>
      <c r="R106" s="4"/>
      <c r="S106" s="4"/>
      <c r="T106" s="4"/>
      <c r="U106" s="4"/>
      <c r="V106" s="4"/>
      <c r="W106" s="4"/>
    </row>
    <row r="107" spans="1:23" x14ac:dyDescent="0.3">
      <c r="A107" s="4"/>
      <c r="B107" s="4"/>
      <c r="C107" s="4"/>
      <c r="D107" s="4"/>
      <c r="E107" s="4"/>
      <c r="F107" s="4"/>
      <c r="G107" s="4"/>
      <c r="H107" s="4"/>
      <c r="I107" s="4"/>
      <c r="J107" s="4"/>
      <c r="K107" s="4"/>
      <c r="L107" s="4"/>
      <c r="M107" s="4"/>
      <c r="N107" s="4"/>
      <c r="O107" s="4"/>
      <c r="P107" s="4"/>
      <c r="Q107" s="4"/>
      <c r="R107" s="4"/>
      <c r="S107" s="4"/>
      <c r="T107" s="4"/>
      <c r="U107" s="4"/>
      <c r="V107" s="4"/>
      <c r="W107" s="4"/>
    </row>
    <row r="108" spans="1:23" x14ac:dyDescent="0.3">
      <c r="A108" s="4"/>
      <c r="B108" s="4"/>
      <c r="C108" s="4"/>
      <c r="D108" s="4"/>
      <c r="E108" s="4"/>
      <c r="F108" s="4"/>
      <c r="G108" s="4"/>
      <c r="H108" s="4"/>
      <c r="I108" s="4"/>
      <c r="J108" s="4"/>
      <c r="K108" s="4"/>
      <c r="L108" s="4"/>
      <c r="M108" s="4"/>
      <c r="N108" s="4"/>
      <c r="O108" s="4"/>
      <c r="P108" s="4"/>
      <c r="Q108" s="4"/>
      <c r="R108" s="4"/>
      <c r="S108" s="4"/>
      <c r="T108" s="4"/>
      <c r="U108" s="4"/>
      <c r="V108" s="4"/>
      <c r="W108" s="4"/>
    </row>
    <row r="109" spans="1:23" x14ac:dyDescent="0.3">
      <c r="A109" s="4"/>
      <c r="B109" s="4"/>
      <c r="C109" s="4"/>
      <c r="D109" s="4"/>
      <c r="E109" s="4"/>
      <c r="F109" s="4"/>
      <c r="G109" s="4"/>
      <c r="H109" s="4"/>
      <c r="I109" s="4"/>
      <c r="J109" s="4"/>
      <c r="K109" s="4"/>
      <c r="L109" s="4"/>
      <c r="M109" s="4"/>
      <c r="N109" s="4"/>
      <c r="O109" s="4"/>
      <c r="P109" s="4"/>
      <c r="Q109" s="4"/>
      <c r="R109" s="4"/>
      <c r="S109" s="4"/>
      <c r="T109" s="4"/>
      <c r="U109" s="4"/>
      <c r="V109" s="4"/>
      <c r="W109" s="4"/>
    </row>
    <row r="110" spans="1:23" x14ac:dyDescent="0.3">
      <c r="A110" s="4"/>
      <c r="B110" s="4"/>
      <c r="C110" s="4"/>
      <c r="D110" s="4"/>
      <c r="E110" s="4"/>
      <c r="F110" s="4"/>
      <c r="G110" s="4"/>
      <c r="H110" s="4"/>
      <c r="I110" s="4"/>
      <c r="J110" s="4"/>
      <c r="K110" s="4"/>
      <c r="L110" s="4"/>
      <c r="M110" s="4"/>
      <c r="N110" s="4"/>
      <c r="O110" s="4"/>
      <c r="P110" s="4"/>
      <c r="Q110" s="4"/>
      <c r="R110" s="4"/>
      <c r="S110" s="4"/>
      <c r="T110" s="4"/>
      <c r="U110" s="4"/>
      <c r="V110" s="4"/>
      <c r="W110" s="4"/>
    </row>
    <row r="111" spans="1:23" x14ac:dyDescent="0.3">
      <c r="A111" s="4"/>
      <c r="B111" s="4"/>
      <c r="C111" s="4"/>
      <c r="D111" s="4"/>
      <c r="E111" s="4"/>
      <c r="F111" s="4"/>
      <c r="G111" s="4"/>
      <c r="H111" s="4"/>
      <c r="I111" s="4"/>
      <c r="J111" s="4"/>
      <c r="K111" s="4"/>
      <c r="L111" s="4"/>
      <c r="M111" s="4"/>
      <c r="N111" s="4"/>
      <c r="O111" s="4"/>
      <c r="P111" s="4"/>
      <c r="Q111" s="4"/>
      <c r="R111" s="4"/>
      <c r="S111" s="4"/>
      <c r="T111" s="4"/>
      <c r="U111" s="4"/>
      <c r="V111" s="4"/>
      <c r="W111" s="4"/>
    </row>
    <row r="112" spans="1:23" x14ac:dyDescent="0.3">
      <c r="A112" s="4"/>
      <c r="B112" s="4"/>
      <c r="C112" s="4"/>
      <c r="D112" s="4"/>
      <c r="E112" s="4"/>
      <c r="F112" s="4"/>
      <c r="G112" s="4"/>
      <c r="H112" s="4"/>
      <c r="I112" s="4"/>
      <c r="J112" s="4"/>
      <c r="K112" s="4"/>
      <c r="L112" s="4"/>
      <c r="M112" s="4"/>
      <c r="N112" s="4"/>
      <c r="O112" s="4"/>
      <c r="P112" s="4"/>
      <c r="Q112" s="4"/>
      <c r="R112" s="4"/>
      <c r="S112" s="4"/>
      <c r="T112" s="4"/>
      <c r="U112" s="4"/>
      <c r="V112" s="4"/>
      <c r="W112" s="4"/>
    </row>
    <row r="113" spans="1:23" x14ac:dyDescent="0.3">
      <c r="A113" s="4"/>
      <c r="B113" s="4"/>
      <c r="C113" s="4"/>
      <c r="D113" s="4"/>
      <c r="E113" s="4"/>
      <c r="F113" s="4"/>
      <c r="G113" s="4"/>
      <c r="H113" s="4"/>
      <c r="I113" s="4"/>
      <c r="J113" s="4"/>
      <c r="K113" s="4"/>
      <c r="L113" s="4"/>
      <c r="M113" s="4"/>
      <c r="N113" s="4"/>
      <c r="O113" s="4"/>
      <c r="P113" s="4"/>
      <c r="Q113" s="4"/>
      <c r="R113" s="4"/>
      <c r="S113" s="4"/>
      <c r="T113" s="4"/>
      <c r="U113" s="4"/>
      <c r="V113" s="4"/>
      <c r="W113" s="4"/>
    </row>
    <row r="114" spans="1:23" x14ac:dyDescent="0.3">
      <c r="A114" s="4"/>
      <c r="B114" s="4"/>
      <c r="C114" s="4"/>
      <c r="D114" s="4"/>
      <c r="E114" s="4"/>
      <c r="F114" s="4"/>
      <c r="G114" s="4"/>
      <c r="H114" s="4"/>
      <c r="I114" s="4"/>
      <c r="J114" s="4"/>
      <c r="K114" s="4"/>
      <c r="L114" s="4"/>
      <c r="M114" s="4"/>
      <c r="N114" s="4"/>
      <c r="O114" s="4"/>
      <c r="P114" s="4"/>
      <c r="Q114" s="4"/>
      <c r="R114" s="4"/>
      <c r="S114" s="4"/>
      <c r="T114" s="4"/>
      <c r="U114" s="4"/>
      <c r="V114" s="4"/>
      <c r="W114" s="4"/>
    </row>
    <row r="115" spans="1:23" x14ac:dyDescent="0.3">
      <c r="A115" s="4"/>
      <c r="B115" s="4"/>
      <c r="C115" s="4"/>
      <c r="D115" s="4"/>
      <c r="E115" s="4"/>
      <c r="F115" s="4"/>
      <c r="G115" s="4"/>
      <c r="H115" s="4"/>
      <c r="I115" s="4"/>
      <c r="J115" s="4"/>
      <c r="K115" s="4"/>
      <c r="L115" s="4"/>
      <c r="M115" s="4"/>
      <c r="N115" s="4"/>
      <c r="O115" s="4"/>
      <c r="P115" s="4"/>
      <c r="Q115" s="4"/>
      <c r="R115" s="4"/>
      <c r="S115" s="4"/>
      <c r="T115" s="4"/>
      <c r="U115" s="4"/>
      <c r="V115" s="4"/>
      <c r="W115" s="4"/>
    </row>
    <row r="116" spans="1:23" x14ac:dyDescent="0.3">
      <c r="A116" s="4"/>
      <c r="B116" s="4"/>
      <c r="C116" s="4"/>
      <c r="D116" s="4"/>
      <c r="E116" s="4"/>
      <c r="F116" s="4"/>
      <c r="G116" s="4"/>
      <c r="H116" s="4"/>
      <c r="I116" s="4"/>
      <c r="J116" s="4"/>
      <c r="K116" s="4"/>
      <c r="L116" s="4"/>
      <c r="M116" s="4"/>
      <c r="N116" s="4"/>
      <c r="O116" s="4"/>
      <c r="P116" s="4"/>
      <c r="Q116" s="4"/>
      <c r="R116" s="4"/>
      <c r="S116" s="4"/>
      <c r="T116" s="4"/>
      <c r="U116" s="4"/>
      <c r="V116" s="4"/>
      <c r="W116" s="4"/>
    </row>
    <row r="117" spans="1:23" x14ac:dyDescent="0.3">
      <c r="A117" s="4"/>
      <c r="B117" s="4"/>
      <c r="C117" s="4"/>
      <c r="D117" s="4"/>
      <c r="E117" s="4"/>
      <c r="F117" s="4"/>
      <c r="G117" s="4"/>
      <c r="H117" s="4"/>
      <c r="I117" s="4"/>
      <c r="J117" s="4"/>
      <c r="K117" s="4"/>
      <c r="L117" s="4"/>
      <c r="M117" s="4"/>
      <c r="N117" s="4"/>
      <c r="O117" s="4"/>
      <c r="P117" s="4"/>
      <c r="Q117" s="4"/>
      <c r="R117" s="4"/>
      <c r="S117" s="4"/>
      <c r="T117" s="4"/>
      <c r="U117" s="4"/>
      <c r="V117" s="4"/>
      <c r="W117" s="4"/>
    </row>
    <row r="118" spans="1:23" x14ac:dyDescent="0.3">
      <c r="A118" s="4"/>
      <c r="B118" s="4"/>
      <c r="C118" s="4"/>
      <c r="D118" s="4"/>
      <c r="E118" s="4"/>
      <c r="F118" s="4"/>
      <c r="G118" s="4"/>
      <c r="H118" s="4"/>
      <c r="I118" s="4"/>
      <c r="J118" s="4"/>
      <c r="K118" s="4"/>
      <c r="L118" s="4"/>
      <c r="M118" s="4"/>
      <c r="N118" s="4"/>
      <c r="O118" s="4"/>
      <c r="P118" s="4"/>
      <c r="Q118" s="4"/>
      <c r="R118" s="4"/>
      <c r="S118" s="4"/>
      <c r="T118" s="4"/>
      <c r="U118" s="4"/>
      <c r="V118" s="4"/>
      <c r="W118" s="4"/>
    </row>
    <row r="119" spans="1:23" x14ac:dyDescent="0.3">
      <c r="A119" s="4"/>
      <c r="B119" s="4"/>
      <c r="C119" s="4"/>
      <c r="D119" s="4"/>
      <c r="E119" s="4"/>
      <c r="F119" s="4"/>
      <c r="G119" s="4"/>
      <c r="H119" s="4"/>
      <c r="I119" s="4"/>
      <c r="J119" s="4"/>
      <c r="K119" s="4"/>
      <c r="L119" s="4"/>
      <c r="M119" s="4"/>
      <c r="N119" s="4"/>
      <c r="O119" s="4"/>
      <c r="P119" s="4"/>
      <c r="Q119" s="4"/>
      <c r="R119" s="4"/>
      <c r="S119" s="4"/>
      <c r="T119" s="4"/>
      <c r="U119" s="4"/>
      <c r="V119" s="4"/>
      <c r="W119" s="4"/>
    </row>
    <row r="120" spans="1:23" x14ac:dyDescent="0.3">
      <c r="A120" s="4"/>
      <c r="B120" s="4"/>
      <c r="C120" s="4"/>
      <c r="D120" s="4"/>
      <c r="E120" s="4"/>
      <c r="F120" s="4"/>
      <c r="G120" s="4"/>
      <c r="H120" s="4"/>
      <c r="I120" s="4"/>
      <c r="J120" s="4"/>
      <c r="K120" s="4"/>
      <c r="L120" s="4"/>
      <c r="M120" s="4"/>
      <c r="N120" s="4"/>
      <c r="O120" s="4"/>
      <c r="P120" s="4"/>
      <c r="Q120" s="4"/>
      <c r="R120" s="4"/>
      <c r="S120" s="4"/>
      <c r="T120" s="4"/>
      <c r="U120" s="4"/>
      <c r="V120" s="4"/>
      <c r="W120" s="4"/>
    </row>
    <row r="121" spans="1:23" x14ac:dyDescent="0.3">
      <c r="A121" s="4"/>
      <c r="B121" s="4"/>
      <c r="C121" s="4"/>
      <c r="D121" s="4"/>
      <c r="E121" s="4"/>
      <c r="F121" s="4"/>
      <c r="G121" s="4"/>
      <c r="H121" s="4"/>
      <c r="I121" s="4"/>
      <c r="J121" s="4"/>
      <c r="K121" s="4"/>
      <c r="L121" s="4"/>
      <c r="M121" s="4"/>
      <c r="N121" s="4"/>
      <c r="O121" s="4"/>
      <c r="P121" s="4"/>
      <c r="Q121" s="4"/>
      <c r="R121" s="4"/>
      <c r="S121" s="4"/>
      <c r="T121" s="4"/>
      <c r="U121" s="4"/>
      <c r="V121" s="4"/>
      <c r="W121" s="4"/>
    </row>
    <row r="122" spans="1:23" x14ac:dyDescent="0.3">
      <c r="A122" s="4"/>
      <c r="B122" s="4"/>
      <c r="C122" s="4"/>
      <c r="D122" s="4"/>
      <c r="E122" s="4"/>
      <c r="F122" s="4"/>
      <c r="G122" s="4"/>
      <c r="H122" s="4"/>
      <c r="I122" s="4"/>
      <c r="J122" s="4"/>
      <c r="K122" s="4"/>
      <c r="L122" s="4"/>
      <c r="M122" s="4"/>
      <c r="N122" s="4"/>
      <c r="O122" s="4"/>
      <c r="P122" s="4"/>
      <c r="Q122" s="4"/>
      <c r="R122" s="4"/>
      <c r="S122" s="4"/>
      <c r="T122" s="4"/>
      <c r="U122" s="4"/>
      <c r="V122" s="4"/>
      <c r="W122" s="4"/>
    </row>
    <row r="123" spans="1:23" x14ac:dyDescent="0.3">
      <c r="A123" s="4"/>
      <c r="B123" s="4"/>
      <c r="C123" s="4"/>
      <c r="D123" s="4"/>
      <c r="E123" s="4"/>
      <c r="F123" s="4"/>
      <c r="G123" s="4"/>
      <c r="H123" s="4"/>
      <c r="I123" s="4"/>
      <c r="J123" s="4"/>
      <c r="K123" s="4"/>
      <c r="L123" s="4"/>
      <c r="M123" s="4"/>
      <c r="N123" s="4"/>
      <c r="O123" s="4"/>
      <c r="P123" s="4"/>
      <c r="Q123" s="4"/>
      <c r="R123" s="4"/>
      <c r="S123" s="4"/>
      <c r="T123" s="4"/>
      <c r="U123" s="4"/>
      <c r="V123" s="4"/>
      <c r="W123" s="4"/>
    </row>
    <row r="124" spans="1:23" x14ac:dyDescent="0.3">
      <c r="A124" s="4"/>
      <c r="B124" s="4"/>
      <c r="C124" s="4"/>
      <c r="D124" s="4"/>
      <c r="E124" s="4"/>
      <c r="F124" s="4"/>
      <c r="G124" s="4"/>
      <c r="H124" s="4"/>
      <c r="I124" s="4"/>
      <c r="J124" s="4"/>
      <c r="K124" s="4"/>
      <c r="L124" s="4"/>
      <c r="M124" s="4"/>
      <c r="N124" s="4"/>
      <c r="O124" s="4"/>
      <c r="P124" s="4"/>
      <c r="Q124" s="4"/>
      <c r="R124" s="4"/>
      <c r="S124" s="4"/>
      <c r="T124" s="4"/>
      <c r="U124" s="4"/>
      <c r="V124" s="4"/>
      <c r="W124" s="4"/>
    </row>
    <row r="125" spans="1:23" x14ac:dyDescent="0.3">
      <c r="A125" s="4"/>
      <c r="B125" s="4"/>
      <c r="C125" s="4"/>
      <c r="D125" s="4"/>
      <c r="E125" s="4"/>
      <c r="F125" s="4"/>
      <c r="G125" s="4"/>
      <c r="H125" s="4"/>
      <c r="I125" s="4"/>
      <c r="J125" s="4"/>
      <c r="K125" s="4"/>
      <c r="L125" s="4"/>
      <c r="M125" s="4"/>
      <c r="N125" s="4"/>
      <c r="O125" s="4"/>
      <c r="P125" s="4"/>
      <c r="Q125" s="4"/>
      <c r="R125" s="4"/>
      <c r="S125" s="4"/>
      <c r="T125" s="4"/>
      <c r="U125" s="4"/>
      <c r="V125" s="4"/>
      <c r="W125" s="4"/>
    </row>
    <row r="126" spans="1:23" x14ac:dyDescent="0.3">
      <c r="A126" s="4"/>
      <c r="B126" s="4"/>
      <c r="C126" s="4"/>
      <c r="D126" s="4"/>
      <c r="E126" s="4"/>
      <c r="F126" s="4"/>
      <c r="G126" s="4"/>
      <c r="H126" s="4"/>
      <c r="I126" s="4"/>
      <c r="J126" s="4"/>
      <c r="K126" s="4"/>
      <c r="L126" s="4"/>
      <c r="M126" s="4"/>
      <c r="N126" s="4"/>
      <c r="O126" s="4"/>
      <c r="P126" s="4"/>
      <c r="Q126" s="4"/>
      <c r="R126" s="4"/>
      <c r="S126" s="4"/>
      <c r="T126" s="4"/>
      <c r="U126" s="4"/>
      <c r="V126" s="4"/>
      <c r="W126" s="4"/>
    </row>
    <row r="127" spans="1:23" x14ac:dyDescent="0.3">
      <c r="A127" s="4"/>
      <c r="B127" s="4"/>
      <c r="C127" s="4"/>
      <c r="D127" s="4"/>
      <c r="E127" s="4"/>
      <c r="F127" s="4"/>
      <c r="G127" s="4"/>
      <c r="H127" s="4"/>
      <c r="I127" s="4"/>
      <c r="J127" s="4"/>
      <c r="K127" s="4"/>
      <c r="L127" s="4"/>
      <c r="M127" s="4"/>
      <c r="N127" s="4"/>
      <c r="O127" s="4"/>
      <c r="P127" s="4"/>
      <c r="Q127" s="4"/>
      <c r="R127" s="4"/>
      <c r="S127" s="4"/>
      <c r="T127" s="4"/>
      <c r="U127" s="4"/>
      <c r="V127" s="4"/>
      <c r="W127" s="4"/>
    </row>
    <row r="128" spans="1:23" x14ac:dyDescent="0.3">
      <c r="A128" s="4"/>
      <c r="B128" s="4"/>
      <c r="C128" s="4"/>
      <c r="D128" s="4"/>
      <c r="E128" s="4"/>
      <c r="F128" s="4"/>
      <c r="G128" s="4"/>
      <c r="H128" s="4"/>
      <c r="I128" s="4"/>
      <c r="J128" s="4"/>
      <c r="K128" s="4"/>
      <c r="L128" s="4"/>
      <c r="M128" s="4"/>
      <c r="N128" s="4"/>
      <c r="O128" s="4"/>
      <c r="P128" s="4"/>
      <c r="Q128" s="4"/>
      <c r="R128" s="4"/>
      <c r="S128" s="4"/>
      <c r="T128" s="4"/>
      <c r="U128" s="4"/>
      <c r="V128" s="4"/>
      <c r="W128" s="4"/>
    </row>
    <row r="129" spans="1:23" x14ac:dyDescent="0.3">
      <c r="A129" s="4"/>
      <c r="B129" s="4"/>
      <c r="C129" s="4"/>
      <c r="D129" s="4"/>
      <c r="E129" s="4"/>
      <c r="F129" s="4"/>
      <c r="G129" s="4"/>
      <c r="H129" s="4"/>
      <c r="I129" s="4"/>
      <c r="J129" s="4"/>
      <c r="K129" s="4"/>
      <c r="L129" s="4"/>
      <c r="M129" s="4"/>
      <c r="N129" s="4"/>
      <c r="O129" s="4"/>
      <c r="P129" s="4"/>
      <c r="Q129" s="4"/>
      <c r="R129" s="4"/>
      <c r="S129" s="4"/>
      <c r="T129" s="4"/>
      <c r="U129" s="4"/>
      <c r="V129" s="4"/>
      <c r="W129" s="4"/>
    </row>
    <row r="130" spans="1:23" x14ac:dyDescent="0.3">
      <c r="A130" s="4"/>
      <c r="B130" s="4"/>
      <c r="C130" s="4"/>
      <c r="D130" s="4"/>
      <c r="E130" s="4"/>
      <c r="F130" s="4"/>
      <c r="G130" s="4"/>
      <c r="H130" s="4"/>
      <c r="I130" s="4"/>
      <c r="J130" s="4"/>
      <c r="K130" s="4"/>
      <c r="L130" s="4"/>
      <c r="M130" s="4"/>
      <c r="N130" s="4"/>
      <c r="O130" s="4"/>
      <c r="P130" s="4"/>
      <c r="Q130" s="4"/>
      <c r="R130" s="4"/>
      <c r="S130" s="4"/>
      <c r="T130" s="4"/>
      <c r="U130" s="4"/>
      <c r="V130" s="4"/>
      <c r="W130" s="4"/>
    </row>
    <row r="131" spans="1:23" x14ac:dyDescent="0.3">
      <c r="A131" s="4"/>
      <c r="B131" s="4"/>
      <c r="C131" s="4"/>
      <c r="D131" s="4"/>
      <c r="E131" s="4"/>
      <c r="F131" s="4"/>
      <c r="G131" s="4"/>
      <c r="H131" s="4"/>
      <c r="I131" s="4"/>
      <c r="J131" s="4"/>
      <c r="K131" s="4"/>
      <c r="L131" s="4"/>
      <c r="M131" s="4"/>
      <c r="N131" s="4"/>
      <c r="O131" s="4"/>
      <c r="P131" s="4"/>
      <c r="Q131" s="4"/>
      <c r="R131" s="4"/>
      <c r="S131" s="4"/>
      <c r="T131" s="4"/>
      <c r="U131" s="4"/>
      <c r="V131" s="4"/>
      <c r="W131" s="4"/>
    </row>
    <row r="132" spans="1:23" x14ac:dyDescent="0.3">
      <c r="A132" s="4"/>
      <c r="B132" s="4"/>
      <c r="C132" s="4"/>
      <c r="D132" s="4"/>
      <c r="E132" s="4"/>
      <c r="F132" s="4"/>
      <c r="G132" s="4"/>
      <c r="H132" s="4"/>
      <c r="I132" s="4"/>
      <c r="J132" s="4"/>
      <c r="K132" s="4"/>
      <c r="L132" s="4"/>
      <c r="M132" s="4"/>
      <c r="N132" s="4"/>
      <c r="O132" s="4"/>
      <c r="P132" s="4"/>
      <c r="Q132" s="4"/>
      <c r="R132" s="4"/>
      <c r="S132" s="4"/>
      <c r="T132" s="4"/>
      <c r="U132" s="4"/>
      <c r="V132" s="4"/>
      <c r="W132" s="4"/>
    </row>
    <row r="133" spans="1:23" x14ac:dyDescent="0.3">
      <c r="A133" s="4"/>
      <c r="B133" s="4"/>
      <c r="C133" s="4"/>
      <c r="D133" s="4"/>
      <c r="E133" s="4"/>
      <c r="F133" s="4"/>
      <c r="G133" s="4"/>
      <c r="H133" s="4"/>
      <c r="I133" s="4"/>
      <c r="J133" s="4"/>
      <c r="K133" s="4"/>
      <c r="L133" s="4"/>
      <c r="M133" s="4"/>
      <c r="N133" s="4"/>
      <c r="O133" s="4"/>
      <c r="P133" s="4"/>
      <c r="Q133" s="4"/>
      <c r="R133" s="4"/>
      <c r="S133" s="4"/>
      <c r="T133" s="4"/>
      <c r="U133" s="4"/>
      <c r="V133" s="4"/>
      <c r="W133" s="4"/>
    </row>
    <row r="134" spans="1:23" x14ac:dyDescent="0.3">
      <c r="A134" s="4"/>
      <c r="B134" s="4"/>
      <c r="C134" s="4"/>
      <c r="D134" s="4"/>
      <c r="E134" s="4"/>
      <c r="F134" s="4"/>
      <c r="G134" s="4"/>
      <c r="H134" s="4"/>
      <c r="I134" s="4"/>
      <c r="J134" s="4"/>
      <c r="K134" s="4"/>
      <c r="L134" s="4"/>
      <c r="M134" s="4"/>
      <c r="N134" s="4"/>
      <c r="O134" s="4"/>
      <c r="P134" s="4"/>
      <c r="Q134" s="4"/>
      <c r="R134" s="4"/>
      <c r="S134" s="4"/>
      <c r="T134" s="4"/>
      <c r="U134" s="4"/>
      <c r="V134" s="4"/>
      <c r="W134" s="4"/>
    </row>
    <row r="135" spans="1:23" x14ac:dyDescent="0.3">
      <c r="A135" s="4"/>
      <c r="B135" s="4"/>
      <c r="C135" s="4"/>
      <c r="D135" s="4"/>
      <c r="E135" s="4"/>
      <c r="F135" s="4"/>
      <c r="G135" s="4"/>
      <c r="H135" s="4"/>
      <c r="I135" s="4"/>
      <c r="J135" s="4"/>
      <c r="K135" s="4"/>
      <c r="L135" s="4"/>
      <c r="M135" s="4"/>
      <c r="N135" s="4"/>
      <c r="O135" s="4"/>
      <c r="P135" s="4"/>
      <c r="Q135" s="4"/>
      <c r="R135" s="4"/>
      <c r="S135" s="4"/>
      <c r="T135" s="4"/>
      <c r="U135" s="4"/>
      <c r="V135" s="4"/>
      <c r="W135" s="4"/>
    </row>
    <row r="136" spans="1:23" x14ac:dyDescent="0.3">
      <c r="A136" s="4"/>
      <c r="B136" s="4"/>
      <c r="C136" s="4"/>
      <c r="D136" s="4"/>
      <c r="E136" s="4"/>
      <c r="F136" s="4"/>
      <c r="G136" s="4"/>
      <c r="H136" s="4"/>
      <c r="I136" s="4"/>
      <c r="J136" s="4"/>
      <c r="K136" s="4"/>
      <c r="L136" s="4"/>
      <c r="M136" s="4"/>
      <c r="N136" s="4"/>
      <c r="O136" s="4"/>
      <c r="P136" s="4"/>
      <c r="Q136" s="4"/>
      <c r="R136" s="4"/>
      <c r="S136" s="4"/>
      <c r="T136" s="4"/>
      <c r="U136" s="4"/>
      <c r="V136" s="4"/>
      <c r="W136" s="4"/>
    </row>
    <row r="137" spans="1:23" x14ac:dyDescent="0.3">
      <c r="A137" s="4"/>
      <c r="B137" s="4"/>
      <c r="C137" s="4"/>
      <c r="D137" s="4"/>
      <c r="E137" s="4"/>
      <c r="F137" s="4"/>
      <c r="G137" s="4"/>
      <c r="H137" s="4"/>
      <c r="I137" s="4"/>
      <c r="J137" s="4"/>
      <c r="K137" s="4"/>
      <c r="L137" s="4"/>
      <c r="M137" s="4"/>
      <c r="N137" s="4"/>
      <c r="O137" s="4"/>
      <c r="P137" s="4"/>
      <c r="Q137" s="4"/>
      <c r="R137" s="4"/>
      <c r="S137" s="4"/>
      <c r="T137" s="4"/>
      <c r="U137" s="4"/>
      <c r="V137" s="4"/>
      <c r="W137" s="4"/>
    </row>
    <row r="138" spans="1:23" x14ac:dyDescent="0.3">
      <c r="A138" s="4"/>
      <c r="B138" s="4"/>
      <c r="C138" s="4"/>
      <c r="D138" s="4"/>
      <c r="E138" s="4"/>
      <c r="F138" s="4"/>
      <c r="G138" s="4"/>
      <c r="H138" s="4"/>
      <c r="I138" s="4"/>
      <c r="J138" s="4"/>
      <c r="K138" s="4"/>
      <c r="L138" s="4"/>
      <c r="M138" s="4"/>
      <c r="N138" s="4"/>
      <c r="O138" s="4"/>
      <c r="P138" s="4"/>
      <c r="Q138" s="4"/>
      <c r="R138" s="4"/>
      <c r="S138" s="4"/>
      <c r="T138" s="4"/>
      <c r="U138" s="4"/>
      <c r="V138" s="4"/>
      <c r="W138" s="4"/>
    </row>
    <row r="139" spans="1:23" x14ac:dyDescent="0.3">
      <c r="A139" s="4"/>
      <c r="B139" s="4"/>
      <c r="C139" s="4"/>
      <c r="D139" s="4"/>
      <c r="E139" s="4"/>
      <c r="F139" s="4"/>
      <c r="G139" s="4"/>
      <c r="H139" s="4"/>
      <c r="I139" s="4"/>
      <c r="J139" s="4"/>
      <c r="K139" s="4"/>
      <c r="L139" s="4"/>
      <c r="M139" s="4"/>
      <c r="N139" s="4"/>
      <c r="O139" s="4"/>
      <c r="P139" s="4"/>
      <c r="Q139" s="4"/>
      <c r="R139" s="4"/>
      <c r="S139" s="4"/>
      <c r="T139" s="4"/>
      <c r="U139" s="4"/>
      <c r="V139" s="4"/>
      <c r="W139" s="4"/>
    </row>
    <row r="140" spans="1:23" x14ac:dyDescent="0.3">
      <c r="A140" s="4"/>
      <c r="B140" s="4"/>
      <c r="C140" s="4"/>
      <c r="D140" s="4"/>
      <c r="E140" s="4"/>
      <c r="F140" s="4"/>
      <c r="G140" s="4"/>
      <c r="H140" s="4"/>
      <c r="I140" s="4"/>
      <c r="J140" s="4"/>
      <c r="K140" s="4"/>
      <c r="L140" s="4"/>
      <c r="M140" s="4"/>
      <c r="N140" s="4"/>
      <c r="O140" s="4"/>
      <c r="P140" s="4"/>
      <c r="Q140" s="4"/>
      <c r="R140" s="4"/>
      <c r="S140" s="4"/>
      <c r="T140" s="4"/>
      <c r="U140" s="4"/>
      <c r="V140" s="4"/>
      <c r="W140" s="4"/>
    </row>
    <row r="141" spans="1:23" x14ac:dyDescent="0.3">
      <c r="A141" s="4"/>
      <c r="B141" s="4"/>
      <c r="C141" s="4"/>
      <c r="D141" s="4"/>
      <c r="E141" s="4"/>
      <c r="F141" s="4"/>
      <c r="G141" s="4"/>
      <c r="H141" s="4"/>
      <c r="I141" s="4"/>
      <c r="J141" s="4"/>
      <c r="K141" s="4"/>
      <c r="L141" s="4"/>
      <c r="M141" s="4"/>
      <c r="N141" s="4"/>
      <c r="O141" s="4"/>
      <c r="P141" s="4"/>
      <c r="Q141" s="4"/>
      <c r="R141" s="4"/>
      <c r="S141" s="4"/>
      <c r="T141" s="4"/>
      <c r="U141" s="4"/>
      <c r="V141" s="4"/>
      <c r="W141" s="4"/>
    </row>
    <row r="142" spans="1:23" x14ac:dyDescent="0.3">
      <c r="A142" s="4"/>
      <c r="B142" s="4"/>
      <c r="C142" s="4"/>
      <c r="D142" s="4"/>
      <c r="E142" s="4"/>
      <c r="F142" s="4"/>
      <c r="G142" s="4"/>
      <c r="H142" s="4"/>
      <c r="I142" s="4"/>
      <c r="J142" s="4"/>
      <c r="K142" s="4"/>
      <c r="L142" s="4"/>
      <c r="M142" s="4"/>
      <c r="N142" s="4"/>
      <c r="O142" s="4"/>
      <c r="P142" s="4"/>
      <c r="Q142" s="4"/>
      <c r="R142" s="4"/>
      <c r="S142" s="4"/>
      <c r="T142" s="4"/>
      <c r="U142" s="4"/>
      <c r="V142" s="4"/>
      <c r="W142" s="4"/>
    </row>
    <row r="143" spans="1:23" x14ac:dyDescent="0.3">
      <c r="A143" s="4"/>
      <c r="B143" s="4"/>
      <c r="C143" s="4"/>
      <c r="D143" s="4"/>
      <c r="E143" s="4"/>
      <c r="F143" s="4"/>
      <c r="G143" s="4"/>
      <c r="H143" s="4"/>
      <c r="I143" s="4"/>
      <c r="J143" s="4"/>
      <c r="K143" s="4"/>
      <c r="L143" s="4"/>
      <c r="M143" s="4"/>
      <c r="N143" s="4"/>
      <c r="O143" s="4"/>
      <c r="P143" s="4"/>
      <c r="Q143" s="4"/>
      <c r="R143" s="4"/>
      <c r="S143" s="4"/>
      <c r="T143" s="4"/>
      <c r="U143" s="4"/>
      <c r="V143" s="4"/>
      <c r="W143" s="4"/>
    </row>
    <row r="144" spans="1:23" x14ac:dyDescent="0.3">
      <c r="A144" s="4"/>
      <c r="B144" s="4"/>
      <c r="C144" s="4"/>
      <c r="D144" s="4"/>
      <c r="E144" s="4"/>
      <c r="F144" s="4"/>
      <c r="G144" s="4"/>
      <c r="H144" s="4"/>
      <c r="I144" s="4"/>
      <c r="J144" s="4"/>
      <c r="K144" s="4"/>
      <c r="L144" s="4"/>
      <c r="M144" s="4"/>
      <c r="N144" s="4"/>
      <c r="O144" s="4"/>
      <c r="P144" s="4"/>
      <c r="Q144" s="4"/>
      <c r="R144" s="4"/>
      <c r="S144" s="4"/>
      <c r="T144" s="4"/>
      <c r="U144" s="4"/>
      <c r="V144" s="4"/>
      <c r="W144" s="4"/>
    </row>
    <row r="145" spans="1:23" x14ac:dyDescent="0.3">
      <c r="A145" s="4"/>
      <c r="B145" s="4"/>
      <c r="C145" s="4"/>
      <c r="D145" s="4"/>
      <c r="E145" s="4"/>
      <c r="F145" s="4"/>
      <c r="G145" s="4"/>
      <c r="H145" s="4"/>
      <c r="I145" s="4"/>
      <c r="J145" s="4"/>
      <c r="K145" s="4"/>
      <c r="L145" s="4"/>
      <c r="M145" s="4"/>
      <c r="N145" s="4"/>
      <c r="O145" s="4"/>
      <c r="P145" s="4"/>
      <c r="Q145" s="4"/>
      <c r="R145" s="4"/>
      <c r="S145" s="4"/>
      <c r="T145" s="4"/>
      <c r="U145" s="4"/>
      <c r="V145" s="4"/>
      <c r="W145" s="4"/>
    </row>
    <row r="146" spans="1:23" x14ac:dyDescent="0.3">
      <c r="A146" s="4"/>
      <c r="B146" s="4"/>
      <c r="C146" s="4"/>
      <c r="D146" s="4"/>
      <c r="E146" s="4"/>
      <c r="F146" s="4"/>
      <c r="G146" s="4"/>
      <c r="H146" s="4"/>
      <c r="I146" s="4"/>
      <c r="J146" s="4"/>
      <c r="K146" s="4"/>
      <c r="L146" s="4"/>
      <c r="M146" s="4"/>
      <c r="N146" s="4"/>
      <c r="O146" s="4"/>
      <c r="P146" s="4"/>
      <c r="Q146" s="4"/>
      <c r="R146" s="4"/>
      <c r="S146" s="4"/>
      <c r="T146" s="4"/>
      <c r="U146" s="4"/>
      <c r="V146" s="4"/>
      <c r="W146" s="4"/>
    </row>
    <row r="147" spans="1:23" x14ac:dyDescent="0.3">
      <c r="A147" s="4"/>
      <c r="B147" s="4"/>
      <c r="C147" s="4"/>
      <c r="D147" s="4"/>
      <c r="E147" s="4"/>
      <c r="F147" s="4"/>
      <c r="G147" s="4"/>
      <c r="H147" s="4"/>
      <c r="I147" s="4"/>
      <c r="J147" s="4"/>
      <c r="K147" s="4"/>
      <c r="L147" s="4"/>
      <c r="M147" s="4"/>
      <c r="N147" s="4"/>
      <c r="O147" s="4"/>
      <c r="P147" s="4"/>
      <c r="Q147" s="4"/>
      <c r="R147" s="4"/>
      <c r="S147" s="4"/>
      <c r="T147" s="4"/>
      <c r="U147" s="4"/>
      <c r="V147" s="4"/>
      <c r="W147" s="4"/>
    </row>
    <row r="148" spans="1:23" x14ac:dyDescent="0.3">
      <c r="A148" s="4"/>
      <c r="B148" s="4"/>
      <c r="C148" s="4"/>
      <c r="D148" s="4"/>
      <c r="E148" s="4"/>
      <c r="F148" s="4"/>
      <c r="G148" s="4"/>
      <c r="H148" s="4"/>
      <c r="I148" s="4"/>
      <c r="J148" s="4"/>
      <c r="K148" s="4"/>
      <c r="L148" s="4"/>
      <c r="M148" s="4"/>
      <c r="N148" s="4"/>
      <c r="O148" s="4"/>
      <c r="P148" s="4"/>
      <c r="Q148" s="4"/>
      <c r="R148" s="4"/>
      <c r="S148" s="4"/>
      <c r="T148" s="4"/>
      <c r="U148" s="4"/>
      <c r="V148" s="4"/>
      <c r="W148" s="4"/>
    </row>
    <row r="149" spans="1:23" x14ac:dyDescent="0.3">
      <c r="A149" s="4"/>
      <c r="B149" s="4"/>
      <c r="C149" s="4"/>
      <c r="D149" s="4"/>
      <c r="E149" s="4"/>
      <c r="F149" s="4"/>
      <c r="G149" s="4"/>
      <c r="H149" s="4"/>
      <c r="I149" s="4"/>
      <c r="J149" s="4"/>
      <c r="K149" s="4"/>
      <c r="L149" s="4"/>
      <c r="M149" s="4"/>
      <c r="N149" s="4"/>
      <c r="O149" s="4"/>
      <c r="P149" s="4"/>
      <c r="Q149" s="4"/>
      <c r="R149" s="4"/>
      <c r="S149" s="4"/>
      <c r="T149" s="4"/>
      <c r="U149" s="4"/>
      <c r="V149" s="4"/>
      <c r="W149" s="4"/>
    </row>
    <row r="150" spans="1:23" x14ac:dyDescent="0.3">
      <c r="A150" s="4"/>
      <c r="B150" s="4"/>
      <c r="C150" s="4"/>
      <c r="D150" s="4"/>
      <c r="E150" s="4"/>
      <c r="F150" s="4"/>
      <c r="G150" s="4"/>
      <c r="H150" s="4"/>
      <c r="I150" s="4"/>
      <c r="J150" s="4"/>
      <c r="K150" s="4"/>
      <c r="L150" s="4"/>
      <c r="M150" s="4"/>
      <c r="N150" s="4"/>
      <c r="O150" s="4"/>
      <c r="P150" s="4"/>
      <c r="Q150" s="4"/>
      <c r="R150" s="4"/>
      <c r="S150" s="4"/>
      <c r="T150" s="4"/>
      <c r="U150" s="4"/>
      <c r="V150" s="4"/>
      <c r="W150" s="4"/>
    </row>
    <row r="151" spans="1:23" x14ac:dyDescent="0.3">
      <c r="A151" s="4"/>
      <c r="B151" s="4"/>
      <c r="C151" s="4"/>
      <c r="D151" s="4"/>
      <c r="E151" s="4"/>
      <c r="F151" s="4"/>
      <c r="G151" s="4"/>
      <c r="H151" s="4"/>
      <c r="I151" s="4"/>
      <c r="J151" s="4"/>
      <c r="K151" s="4"/>
      <c r="L151" s="4"/>
      <c r="M151" s="4"/>
      <c r="N151" s="4"/>
      <c r="O151" s="4"/>
      <c r="P151" s="4"/>
      <c r="Q151" s="4"/>
      <c r="R151" s="4"/>
      <c r="S151" s="4"/>
      <c r="T151" s="4"/>
      <c r="U151" s="4"/>
      <c r="V151" s="4"/>
      <c r="W151" s="4"/>
    </row>
    <row r="152" spans="1:23" x14ac:dyDescent="0.3">
      <c r="A152" s="4"/>
      <c r="B152" s="4"/>
      <c r="C152" s="4"/>
      <c r="D152" s="4"/>
      <c r="E152" s="4"/>
      <c r="F152" s="4"/>
      <c r="G152" s="4"/>
      <c r="H152" s="4"/>
      <c r="I152" s="4"/>
      <c r="J152" s="4"/>
      <c r="K152" s="4"/>
      <c r="L152" s="4"/>
      <c r="M152" s="4"/>
      <c r="N152" s="4"/>
      <c r="O152" s="4"/>
      <c r="P152" s="4"/>
      <c r="Q152" s="4"/>
      <c r="R152" s="4"/>
      <c r="S152" s="4"/>
      <c r="T152" s="4"/>
      <c r="U152" s="4"/>
      <c r="V152" s="4"/>
      <c r="W152" s="4"/>
    </row>
    <row r="153" spans="1:23" x14ac:dyDescent="0.3">
      <c r="A153" s="4"/>
      <c r="B153" s="4"/>
      <c r="C153" s="4"/>
      <c r="D153" s="4"/>
      <c r="E153" s="4"/>
      <c r="F153" s="4"/>
      <c r="G153" s="4"/>
      <c r="H153" s="4"/>
      <c r="I153" s="4"/>
      <c r="J153" s="4"/>
      <c r="K153" s="4"/>
      <c r="L153" s="4"/>
      <c r="M153" s="4"/>
      <c r="N153" s="4"/>
      <c r="O153" s="4"/>
      <c r="P153" s="4"/>
      <c r="Q153" s="4"/>
      <c r="R153" s="4"/>
      <c r="S153" s="4"/>
      <c r="T153" s="4"/>
      <c r="U153" s="4"/>
      <c r="V153" s="4"/>
      <c r="W153" s="4"/>
    </row>
    <row r="154" spans="1:23" x14ac:dyDescent="0.3">
      <c r="A154" s="4"/>
      <c r="B154" s="4"/>
      <c r="C154" s="4"/>
      <c r="D154" s="4"/>
      <c r="E154" s="4"/>
      <c r="F154" s="4"/>
      <c r="G154" s="4"/>
      <c r="H154" s="4"/>
      <c r="I154" s="4"/>
      <c r="J154" s="4"/>
      <c r="K154" s="4"/>
      <c r="L154" s="4"/>
      <c r="M154" s="4"/>
      <c r="N154" s="4"/>
      <c r="O154" s="4"/>
      <c r="P154" s="4"/>
      <c r="Q154" s="4"/>
      <c r="R154" s="4"/>
      <c r="S154" s="4"/>
      <c r="T154" s="4"/>
      <c r="U154" s="4"/>
      <c r="V154" s="4"/>
      <c r="W154" s="4"/>
    </row>
    <row r="155" spans="1:23" x14ac:dyDescent="0.3">
      <c r="A155" s="4"/>
      <c r="B155" s="4"/>
      <c r="C155" s="4"/>
      <c r="D155" s="4"/>
      <c r="E155" s="4"/>
      <c r="F155" s="4"/>
      <c r="G155" s="4"/>
      <c r="H155" s="4"/>
      <c r="I155" s="4"/>
      <c r="J155" s="4"/>
      <c r="K155" s="4"/>
      <c r="L155" s="4"/>
      <c r="M155" s="4"/>
      <c r="N155" s="4"/>
      <c r="O155" s="4"/>
      <c r="P155" s="4"/>
      <c r="Q155" s="4"/>
      <c r="R155" s="4"/>
      <c r="S155" s="4"/>
      <c r="T155" s="4"/>
      <c r="U155" s="4"/>
      <c r="V155" s="4"/>
      <c r="W155" s="4"/>
    </row>
    <row r="156" spans="1:23" x14ac:dyDescent="0.3">
      <c r="A156" s="4"/>
      <c r="B156" s="4"/>
      <c r="C156" s="4"/>
      <c r="D156" s="4"/>
      <c r="E156" s="4"/>
      <c r="F156" s="4"/>
      <c r="G156" s="4"/>
      <c r="H156" s="4"/>
      <c r="I156" s="4"/>
      <c r="J156" s="4"/>
      <c r="K156" s="4"/>
      <c r="L156" s="4"/>
      <c r="M156" s="4"/>
      <c r="N156" s="4"/>
      <c r="O156" s="4"/>
      <c r="P156" s="4"/>
      <c r="Q156" s="4"/>
      <c r="R156" s="4"/>
      <c r="S156" s="4"/>
      <c r="T156" s="4"/>
      <c r="U156" s="4"/>
      <c r="V156" s="4"/>
      <c r="W156" s="4"/>
    </row>
    <row r="157" spans="1:23" x14ac:dyDescent="0.3">
      <c r="A157" s="4"/>
      <c r="B157" s="4"/>
      <c r="C157" s="4"/>
      <c r="D157" s="4"/>
      <c r="E157" s="4"/>
      <c r="F157" s="4"/>
      <c r="G157" s="4"/>
      <c r="H157" s="4"/>
      <c r="I157" s="4"/>
      <c r="J157" s="4"/>
      <c r="K157" s="4"/>
      <c r="L157" s="4"/>
      <c r="M157" s="4"/>
      <c r="N157" s="4"/>
      <c r="O157" s="4"/>
      <c r="P157" s="4"/>
      <c r="Q157" s="4"/>
      <c r="R157" s="4"/>
      <c r="S157" s="4"/>
      <c r="T157" s="4"/>
      <c r="U157" s="4"/>
      <c r="V157" s="4"/>
      <c r="W157" s="4"/>
    </row>
    <row r="158" spans="1:23" x14ac:dyDescent="0.3">
      <c r="A158" s="4"/>
      <c r="B158" s="4"/>
      <c r="C158" s="4"/>
      <c r="D158" s="4"/>
      <c r="E158" s="4"/>
      <c r="F158" s="4"/>
      <c r="G158" s="4"/>
      <c r="H158" s="4"/>
      <c r="I158" s="4"/>
      <c r="J158" s="4"/>
      <c r="K158" s="4"/>
      <c r="L158" s="4"/>
      <c r="M158" s="4"/>
      <c r="N158" s="4"/>
      <c r="O158" s="4"/>
      <c r="P158" s="4"/>
      <c r="Q158" s="4"/>
      <c r="R158" s="4"/>
      <c r="S158" s="4"/>
      <c r="T158" s="4"/>
      <c r="U158" s="4"/>
      <c r="V158" s="4"/>
      <c r="W158" s="4"/>
    </row>
    <row r="159" spans="1:23" x14ac:dyDescent="0.3">
      <c r="A159" s="4"/>
      <c r="B159" s="4"/>
      <c r="C159" s="4"/>
      <c r="D159" s="4"/>
      <c r="E159" s="4"/>
      <c r="F159" s="4"/>
      <c r="G159" s="4"/>
      <c r="H159" s="4"/>
      <c r="I159" s="4"/>
      <c r="J159" s="4"/>
      <c r="K159" s="4"/>
      <c r="L159" s="4"/>
      <c r="M159" s="4"/>
      <c r="N159" s="4"/>
      <c r="O159" s="4"/>
      <c r="P159" s="4"/>
      <c r="Q159" s="4"/>
      <c r="R159" s="4"/>
      <c r="S159" s="4"/>
      <c r="T159" s="4"/>
      <c r="U159" s="4"/>
      <c r="V159" s="4"/>
      <c r="W159" s="4"/>
    </row>
    <row r="160" spans="1:23" x14ac:dyDescent="0.3">
      <c r="A160" s="4"/>
      <c r="B160" s="4"/>
      <c r="C160" s="4"/>
      <c r="D160" s="4"/>
      <c r="E160" s="4"/>
      <c r="F160" s="4"/>
      <c r="G160" s="4"/>
      <c r="H160" s="4"/>
      <c r="I160" s="4"/>
      <c r="J160" s="4"/>
      <c r="K160" s="4"/>
      <c r="L160" s="4"/>
      <c r="M160" s="4"/>
      <c r="N160" s="4"/>
      <c r="O160" s="4"/>
      <c r="P160" s="4"/>
      <c r="Q160" s="4"/>
      <c r="R160" s="4"/>
      <c r="S160" s="4"/>
      <c r="T160" s="4"/>
      <c r="U160" s="4"/>
      <c r="V160" s="4"/>
      <c r="W160" s="4"/>
    </row>
    <row r="161" spans="1:23" x14ac:dyDescent="0.3">
      <c r="A161" s="4"/>
      <c r="B161" s="4"/>
      <c r="C161" s="4"/>
      <c r="D161" s="4"/>
      <c r="E161" s="4"/>
      <c r="F161" s="4"/>
      <c r="G161" s="4"/>
      <c r="H161" s="4"/>
      <c r="I161" s="4"/>
      <c r="J161" s="4"/>
      <c r="K161" s="4"/>
      <c r="L161" s="4"/>
      <c r="M161" s="4"/>
      <c r="N161" s="4"/>
      <c r="O161" s="4"/>
      <c r="P161" s="4"/>
      <c r="Q161" s="4"/>
      <c r="R161" s="4"/>
      <c r="S161" s="4"/>
      <c r="T161" s="4"/>
      <c r="U161" s="4"/>
      <c r="V161" s="4"/>
      <c r="W161" s="4"/>
    </row>
    <row r="162" spans="1:23" x14ac:dyDescent="0.3">
      <c r="A162" s="4"/>
      <c r="B162" s="4"/>
      <c r="C162" s="4"/>
      <c r="D162" s="4"/>
      <c r="E162" s="4"/>
      <c r="F162" s="4"/>
      <c r="G162" s="4"/>
      <c r="H162" s="4"/>
      <c r="I162" s="4"/>
      <c r="J162" s="4"/>
      <c r="K162" s="4"/>
      <c r="L162" s="4"/>
      <c r="M162" s="4"/>
      <c r="N162" s="4"/>
      <c r="O162" s="4"/>
      <c r="P162" s="4"/>
      <c r="Q162" s="4"/>
      <c r="R162" s="4"/>
      <c r="S162" s="4"/>
      <c r="T162" s="4"/>
      <c r="U162" s="4"/>
      <c r="V162" s="4"/>
      <c r="W162" s="4"/>
    </row>
    <row r="163" spans="1:23" x14ac:dyDescent="0.3">
      <c r="A163" s="4"/>
      <c r="B163" s="4"/>
      <c r="C163" s="4"/>
      <c r="D163" s="4"/>
      <c r="E163" s="4"/>
      <c r="F163" s="4"/>
      <c r="G163" s="4"/>
      <c r="H163" s="4"/>
      <c r="I163" s="4"/>
      <c r="J163" s="4"/>
      <c r="K163" s="4"/>
      <c r="L163" s="4"/>
      <c r="M163" s="4"/>
      <c r="N163" s="4"/>
      <c r="O163" s="4"/>
      <c r="P163" s="4"/>
      <c r="Q163" s="4"/>
      <c r="R163" s="4"/>
      <c r="S163" s="4"/>
      <c r="T163" s="4"/>
      <c r="U163" s="4"/>
      <c r="V163" s="4"/>
      <c r="W163" s="4"/>
    </row>
    <row r="164" spans="1:23" x14ac:dyDescent="0.3">
      <c r="A164" s="4"/>
      <c r="B164" s="4"/>
      <c r="C164" s="4"/>
      <c r="D164" s="4"/>
      <c r="E164" s="4"/>
      <c r="F164" s="4"/>
      <c r="G164" s="4"/>
      <c r="H164" s="4"/>
      <c r="I164" s="4"/>
      <c r="J164" s="4"/>
      <c r="K164" s="4"/>
      <c r="L164" s="4"/>
      <c r="M164" s="4"/>
      <c r="N164" s="4"/>
      <c r="O164" s="4"/>
      <c r="P164" s="4"/>
      <c r="Q164" s="4"/>
      <c r="R164" s="4"/>
      <c r="S164" s="4"/>
      <c r="T164" s="4"/>
      <c r="U164" s="4"/>
      <c r="V164" s="4"/>
      <c r="W164" s="4"/>
    </row>
    <row r="165" spans="1:23" x14ac:dyDescent="0.3">
      <c r="A165" s="4"/>
      <c r="B165" s="4"/>
      <c r="C165" s="4"/>
      <c r="D165" s="4"/>
      <c r="E165" s="4"/>
      <c r="F165" s="4"/>
      <c r="G165" s="4"/>
      <c r="H165" s="4"/>
      <c r="I165" s="4"/>
      <c r="J165" s="4"/>
      <c r="K165" s="4"/>
      <c r="L165" s="4"/>
      <c r="M165" s="4"/>
      <c r="N165" s="4"/>
      <c r="O165" s="4"/>
      <c r="P165" s="4"/>
      <c r="Q165" s="4"/>
      <c r="R165" s="4"/>
      <c r="S165" s="4"/>
      <c r="T165" s="4"/>
      <c r="U165" s="4"/>
      <c r="V165" s="4"/>
      <c r="W165" s="4"/>
    </row>
    <row r="166" spans="1:23" x14ac:dyDescent="0.3">
      <c r="A166" s="4"/>
      <c r="B166" s="4"/>
      <c r="C166" s="4"/>
      <c r="D166" s="4"/>
      <c r="E166" s="4"/>
      <c r="F166" s="4"/>
      <c r="G166" s="4"/>
      <c r="H166" s="4"/>
      <c r="I166" s="4"/>
      <c r="J166" s="4"/>
      <c r="K166" s="4"/>
      <c r="L166" s="4"/>
      <c r="M166" s="4"/>
      <c r="N166" s="4"/>
      <c r="O166" s="4"/>
      <c r="P166" s="4"/>
      <c r="Q166" s="4"/>
      <c r="R166" s="4"/>
      <c r="S166" s="4"/>
      <c r="T166" s="4"/>
      <c r="U166" s="4"/>
      <c r="V166" s="4"/>
      <c r="W166" s="4"/>
    </row>
    <row r="167" spans="1:23" x14ac:dyDescent="0.3">
      <c r="A167" s="4"/>
      <c r="B167" s="4"/>
      <c r="C167" s="4"/>
      <c r="D167" s="4"/>
      <c r="E167" s="4"/>
      <c r="F167" s="4"/>
      <c r="G167" s="4"/>
      <c r="H167" s="4"/>
      <c r="I167" s="4"/>
      <c r="J167" s="4"/>
      <c r="K167" s="4"/>
      <c r="L167" s="4"/>
      <c r="M167" s="4"/>
      <c r="N167" s="4"/>
      <c r="O167" s="4"/>
      <c r="P167" s="4"/>
      <c r="Q167" s="4"/>
      <c r="R167" s="4"/>
      <c r="S167" s="4"/>
      <c r="T167" s="4"/>
      <c r="U167" s="4"/>
      <c r="V167" s="4"/>
      <c r="W167" s="4"/>
    </row>
    <row r="168" spans="1:23" x14ac:dyDescent="0.3">
      <c r="A168" s="4"/>
      <c r="B168" s="4"/>
      <c r="C168" s="4"/>
      <c r="D168" s="4"/>
      <c r="E168" s="4"/>
      <c r="F168" s="4"/>
      <c r="G168" s="4"/>
      <c r="H168" s="4"/>
      <c r="I168" s="4"/>
      <c r="J168" s="4"/>
      <c r="K168" s="4"/>
      <c r="L168" s="4"/>
      <c r="M168" s="4"/>
      <c r="N168" s="4"/>
      <c r="O168" s="4"/>
      <c r="P168" s="4"/>
      <c r="Q168" s="4"/>
      <c r="R168" s="4"/>
      <c r="S168" s="4"/>
      <c r="T168" s="4"/>
      <c r="U168" s="4"/>
      <c r="V168" s="4"/>
      <c r="W168" s="4"/>
    </row>
    <row r="169" spans="1:23" x14ac:dyDescent="0.3">
      <c r="A169" s="4"/>
      <c r="B169" s="4"/>
      <c r="C169" s="4"/>
      <c r="D169" s="4"/>
      <c r="E169" s="4"/>
      <c r="F169" s="4"/>
      <c r="G169" s="4"/>
      <c r="H169" s="4"/>
      <c r="I169" s="4"/>
      <c r="J169" s="4"/>
      <c r="K169" s="4"/>
      <c r="L169" s="4"/>
      <c r="M169" s="4"/>
      <c r="N169" s="4"/>
      <c r="O169" s="4"/>
      <c r="P169" s="4"/>
      <c r="Q169" s="4"/>
      <c r="R169" s="4"/>
      <c r="S169" s="4"/>
      <c r="T169" s="4"/>
      <c r="U169" s="4"/>
      <c r="V169" s="4"/>
      <c r="W169" s="4"/>
    </row>
    <row r="170" spans="1:23" x14ac:dyDescent="0.3">
      <c r="A170" s="4"/>
      <c r="B170" s="4"/>
      <c r="C170" s="4"/>
      <c r="D170" s="4"/>
      <c r="E170" s="4"/>
      <c r="F170" s="4"/>
      <c r="G170" s="4"/>
      <c r="H170" s="4"/>
      <c r="I170" s="4"/>
      <c r="J170" s="4"/>
      <c r="K170" s="4"/>
      <c r="L170" s="4"/>
      <c r="M170" s="4"/>
      <c r="N170" s="4"/>
      <c r="O170" s="4"/>
      <c r="P170" s="4"/>
      <c r="Q170" s="4"/>
      <c r="R170" s="4"/>
      <c r="S170" s="4"/>
      <c r="T170" s="4"/>
      <c r="U170" s="4"/>
      <c r="V170" s="4"/>
      <c r="W170" s="4"/>
    </row>
    <row r="171" spans="1:23" x14ac:dyDescent="0.3">
      <c r="A171" s="4"/>
      <c r="B171" s="4"/>
      <c r="C171" s="4"/>
      <c r="D171" s="4"/>
      <c r="E171" s="4"/>
      <c r="F171" s="4"/>
      <c r="G171" s="4"/>
      <c r="H171" s="4"/>
      <c r="I171" s="4"/>
      <c r="J171" s="4"/>
      <c r="K171" s="4"/>
      <c r="L171" s="4"/>
      <c r="M171" s="4"/>
      <c r="N171" s="4"/>
      <c r="O171" s="4"/>
      <c r="P171" s="4"/>
      <c r="Q171" s="4"/>
      <c r="R171" s="4"/>
      <c r="S171" s="4"/>
      <c r="T171" s="4"/>
      <c r="U171" s="4"/>
      <c r="V171" s="4"/>
      <c r="W171" s="4"/>
    </row>
    <row r="172" spans="1:23" x14ac:dyDescent="0.3">
      <c r="A172" s="4"/>
      <c r="B172" s="4"/>
      <c r="C172" s="4"/>
      <c r="D172" s="4"/>
      <c r="E172" s="4"/>
      <c r="F172" s="4"/>
      <c r="G172" s="4"/>
      <c r="H172" s="4"/>
      <c r="I172" s="4"/>
      <c r="J172" s="4"/>
      <c r="K172" s="4"/>
      <c r="L172" s="4"/>
      <c r="M172" s="4"/>
      <c r="N172" s="4"/>
      <c r="O172" s="4"/>
      <c r="P172" s="4"/>
      <c r="Q172" s="4"/>
      <c r="R172" s="4"/>
      <c r="S172" s="4"/>
      <c r="T172" s="4"/>
      <c r="U172" s="4"/>
      <c r="V172" s="4"/>
      <c r="W172" s="4"/>
    </row>
    <row r="173" spans="1:23" x14ac:dyDescent="0.3">
      <c r="A173" s="4"/>
      <c r="B173" s="4"/>
      <c r="C173" s="4"/>
      <c r="D173" s="4"/>
      <c r="E173" s="4"/>
      <c r="F173" s="4"/>
      <c r="G173" s="4"/>
      <c r="H173" s="4"/>
      <c r="I173" s="4"/>
      <c r="J173" s="4"/>
      <c r="K173" s="4"/>
      <c r="L173" s="4"/>
      <c r="M173" s="4"/>
      <c r="N173" s="4"/>
      <c r="O173" s="4"/>
      <c r="P173" s="4"/>
      <c r="Q173" s="4"/>
      <c r="R173" s="4"/>
      <c r="S173" s="4"/>
      <c r="T173" s="4"/>
      <c r="U173" s="4"/>
      <c r="V173" s="4"/>
      <c r="W173" s="4"/>
    </row>
    <row r="174" spans="1:23" x14ac:dyDescent="0.3">
      <c r="A174" s="4"/>
      <c r="B174" s="4"/>
      <c r="C174" s="4"/>
      <c r="D174" s="4"/>
      <c r="E174" s="4"/>
      <c r="F174" s="4"/>
      <c r="G174" s="4"/>
      <c r="H174" s="4"/>
      <c r="I174" s="4"/>
      <c r="J174" s="4"/>
      <c r="K174" s="4"/>
      <c r="L174" s="4"/>
      <c r="M174" s="4"/>
      <c r="N174" s="4"/>
      <c r="O174" s="4"/>
      <c r="P174" s="4"/>
      <c r="Q174" s="4"/>
      <c r="R174" s="4"/>
      <c r="S174" s="4"/>
      <c r="T174" s="4"/>
      <c r="U174" s="4"/>
      <c r="V174" s="4"/>
      <c r="W174" s="4"/>
    </row>
    <row r="175" spans="1:23" x14ac:dyDescent="0.3">
      <c r="A175" s="4"/>
      <c r="B175" s="4"/>
      <c r="C175" s="4"/>
      <c r="D175" s="4"/>
      <c r="E175" s="4"/>
      <c r="F175" s="4"/>
      <c r="G175" s="4"/>
      <c r="H175" s="4"/>
      <c r="I175" s="4"/>
      <c r="J175" s="4"/>
      <c r="K175" s="4"/>
      <c r="L175" s="4"/>
      <c r="M175" s="4"/>
      <c r="N175" s="4"/>
      <c r="O175" s="4"/>
      <c r="P175" s="4"/>
      <c r="Q175" s="4"/>
      <c r="R175" s="4"/>
      <c r="S175" s="4"/>
      <c r="T175" s="4"/>
      <c r="U175" s="4"/>
      <c r="V175" s="4"/>
      <c r="W175" s="4"/>
    </row>
    <row r="176" spans="1:23" x14ac:dyDescent="0.3">
      <c r="A176" s="4"/>
      <c r="B176" s="4"/>
      <c r="C176" s="4"/>
      <c r="D176" s="4"/>
      <c r="E176" s="4"/>
      <c r="F176" s="4"/>
      <c r="G176" s="4"/>
      <c r="H176" s="4"/>
      <c r="I176" s="4"/>
      <c r="J176" s="4"/>
      <c r="K176" s="4"/>
      <c r="L176" s="4"/>
      <c r="M176" s="4"/>
      <c r="N176" s="4"/>
      <c r="O176" s="4"/>
      <c r="P176" s="4"/>
      <c r="Q176" s="4"/>
      <c r="R176" s="4"/>
      <c r="S176" s="4"/>
      <c r="T176" s="4"/>
      <c r="U176" s="4"/>
      <c r="V176" s="4"/>
      <c r="W176" s="4"/>
    </row>
    <row r="177" spans="1:23" x14ac:dyDescent="0.3">
      <c r="A177" s="4"/>
      <c r="B177" s="4"/>
      <c r="C177" s="4"/>
      <c r="D177" s="4"/>
      <c r="E177" s="4"/>
      <c r="F177" s="4"/>
      <c r="G177" s="4"/>
      <c r="H177" s="4"/>
      <c r="I177" s="4"/>
      <c r="J177" s="4"/>
      <c r="K177" s="4"/>
      <c r="L177" s="4"/>
      <c r="M177" s="4"/>
      <c r="N177" s="4"/>
      <c r="O177" s="4"/>
      <c r="P177" s="4"/>
      <c r="Q177" s="4"/>
      <c r="R177" s="4"/>
      <c r="S177" s="4"/>
      <c r="T177" s="4"/>
      <c r="U177" s="4"/>
      <c r="V177" s="4"/>
      <c r="W177" s="4"/>
    </row>
    <row r="178" spans="1:23" x14ac:dyDescent="0.3">
      <c r="A178" s="4"/>
      <c r="B178" s="4"/>
      <c r="C178" s="4"/>
      <c r="D178" s="4"/>
      <c r="E178" s="4"/>
      <c r="F178" s="4"/>
      <c r="G178" s="4"/>
      <c r="H178" s="4"/>
      <c r="I178" s="4"/>
      <c r="J178" s="4"/>
      <c r="K178" s="4"/>
      <c r="L178" s="4"/>
      <c r="M178" s="4"/>
      <c r="N178" s="4"/>
      <c r="O178" s="4"/>
      <c r="P178" s="4"/>
      <c r="Q178" s="4"/>
      <c r="R178" s="4"/>
      <c r="S178" s="4"/>
      <c r="T178" s="4"/>
      <c r="U178" s="4"/>
      <c r="V178" s="4"/>
      <c r="W178" s="4"/>
    </row>
    <row r="179" spans="1:23" x14ac:dyDescent="0.3">
      <c r="A179" s="4"/>
      <c r="B179" s="4"/>
      <c r="C179" s="4"/>
      <c r="D179" s="4"/>
      <c r="E179" s="4"/>
      <c r="F179" s="4"/>
      <c r="G179" s="4"/>
      <c r="H179" s="4"/>
      <c r="I179" s="4"/>
      <c r="J179" s="4"/>
      <c r="K179" s="4"/>
      <c r="L179" s="4"/>
      <c r="M179" s="4"/>
      <c r="N179" s="4"/>
      <c r="O179" s="4"/>
      <c r="P179" s="4"/>
      <c r="Q179" s="4"/>
      <c r="R179" s="4"/>
      <c r="S179" s="4"/>
      <c r="T179" s="4"/>
      <c r="U179" s="4"/>
      <c r="V179" s="4"/>
      <c r="W179" s="4"/>
    </row>
    <row r="180" spans="1:23" x14ac:dyDescent="0.3">
      <c r="A180" s="4"/>
      <c r="B180" s="4"/>
      <c r="C180" s="4"/>
      <c r="D180" s="4"/>
      <c r="E180" s="4"/>
      <c r="F180" s="4"/>
      <c r="G180" s="4"/>
      <c r="H180" s="4"/>
      <c r="I180" s="4"/>
      <c r="J180" s="4"/>
      <c r="K180" s="4"/>
      <c r="L180" s="4"/>
      <c r="M180" s="4"/>
      <c r="N180" s="4"/>
      <c r="O180" s="4"/>
      <c r="P180" s="4"/>
      <c r="Q180" s="4"/>
      <c r="R180" s="4"/>
      <c r="S180" s="4"/>
      <c r="T180" s="4"/>
      <c r="U180" s="4"/>
      <c r="V180" s="4"/>
      <c r="W180" s="4"/>
    </row>
    <row r="181" spans="1:23" x14ac:dyDescent="0.3">
      <c r="A181" s="4"/>
      <c r="B181" s="4"/>
      <c r="C181" s="4"/>
      <c r="D181" s="4"/>
      <c r="E181" s="4"/>
      <c r="F181" s="4"/>
      <c r="G181" s="4"/>
      <c r="H181" s="4"/>
      <c r="I181" s="4"/>
      <c r="J181" s="4"/>
      <c r="K181" s="4"/>
      <c r="L181" s="4"/>
      <c r="M181" s="4"/>
      <c r="N181" s="4"/>
      <c r="O181" s="4"/>
      <c r="P181" s="4"/>
      <c r="Q181" s="4"/>
      <c r="R181" s="4"/>
      <c r="S181" s="4"/>
      <c r="T181" s="4"/>
      <c r="U181" s="4"/>
      <c r="V181" s="4"/>
      <c r="W181" s="4"/>
    </row>
    <row r="182" spans="1:23" x14ac:dyDescent="0.3">
      <c r="A182" s="4"/>
      <c r="B182" s="4"/>
      <c r="C182" s="4"/>
      <c r="D182" s="4"/>
      <c r="E182" s="4"/>
      <c r="F182" s="4"/>
      <c r="G182" s="4"/>
      <c r="H182" s="4"/>
      <c r="I182" s="4"/>
      <c r="J182" s="4"/>
      <c r="K182" s="4"/>
      <c r="L182" s="4"/>
      <c r="M182" s="4"/>
      <c r="N182" s="4"/>
      <c r="O182" s="4"/>
      <c r="P182" s="4"/>
      <c r="Q182" s="4"/>
      <c r="R182" s="4"/>
      <c r="S182" s="4"/>
      <c r="T182" s="4"/>
      <c r="U182" s="4"/>
      <c r="V182" s="4"/>
      <c r="W182" s="4"/>
    </row>
    <row r="183" spans="1:23" x14ac:dyDescent="0.3">
      <c r="A183" s="4"/>
      <c r="B183" s="4"/>
      <c r="C183" s="4"/>
      <c r="D183" s="4"/>
      <c r="E183" s="4"/>
      <c r="F183" s="4"/>
      <c r="G183" s="4"/>
      <c r="H183" s="4"/>
      <c r="I183" s="4"/>
      <c r="J183" s="4"/>
      <c r="K183" s="4"/>
      <c r="L183" s="4"/>
      <c r="M183" s="4"/>
      <c r="N183" s="4"/>
      <c r="O183" s="4"/>
      <c r="P183" s="4"/>
      <c r="Q183" s="4"/>
      <c r="R183" s="4"/>
      <c r="S183" s="4"/>
      <c r="T183" s="4"/>
      <c r="U183" s="4"/>
      <c r="V183" s="4"/>
      <c r="W183" s="4"/>
    </row>
    <row r="184" spans="1:23" x14ac:dyDescent="0.3">
      <c r="A184" s="4"/>
      <c r="B184" s="4"/>
      <c r="C184" s="4"/>
      <c r="D184" s="4"/>
      <c r="E184" s="4"/>
      <c r="F184" s="4"/>
      <c r="G184" s="4"/>
      <c r="H184" s="4"/>
      <c r="I184" s="4"/>
      <c r="J184" s="4"/>
      <c r="K184" s="4"/>
      <c r="L184" s="4"/>
      <c r="M184" s="4"/>
      <c r="N184" s="4"/>
      <c r="O184" s="4"/>
      <c r="P184" s="4"/>
      <c r="Q184" s="4"/>
      <c r="R184" s="4"/>
      <c r="S184" s="4"/>
      <c r="T184" s="4"/>
      <c r="U184" s="4"/>
      <c r="V184" s="4"/>
      <c r="W184" s="4"/>
    </row>
    <row r="185" spans="1:23" x14ac:dyDescent="0.3">
      <c r="A185" s="4"/>
      <c r="B185" s="4"/>
      <c r="C185" s="4"/>
      <c r="D185" s="4"/>
      <c r="E185" s="4"/>
      <c r="F185" s="4"/>
      <c r="G185" s="4"/>
      <c r="H185" s="4"/>
      <c r="I185" s="4"/>
      <c r="J185" s="4"/>
      <c r="K185" s="4"/>
      <c r="L185" s="4"/>
      <c r="M185" s="4"/>
      <c r="N185" s="4"/>
      <c r="O185" s="4"/>
      <c r="P185" s="4"/>
      <c r="Q185" s="4"/>
      <c r="R185" s="4"/>
      <c r="S185" s="4"/>
      <c r="T185" s="4"/>
      <c r="U185" s="4"/>
      <c r="V185" s="4"/>
      <c r="W185" s="4"/>
    </row>
    <row r="186" spans="1:23" x14ac:dyDescent="0.3">
      <c r="A186" s="4"/>
      <c r="B186" s="4"/>
      <c r="C186" s="4"/>
      <c r="D186" s="4"/>
      <c r="E186" s="4"/>
      <c r="F186" s="4"/>
      <c r="G186" s="4"/>
      <c r="H186" s="4"/>
      <c r="I186" s="4"/>
      <c r="J186" s="4"/>
      <c r="K186" s="4"/>
      <c r="L186" s="4"/>
      <c r="M186" s="4"/>
      <c r="N186" s="4"/>
      <c r="O186" s="4"/>
      <c r="P186" s="4"/>
      <c r="Q186" s="4"/>
      <c r="R186" s="4"/>
      <c r="S186" s="4"/>
      <c r="T186" s="4"/>
      <c r="U186" s="4"/>
      <c r="V186" s="4"/>
      <c r="W186" s="4"/>
    </row>
    <row r="187" spans="1:23" x14ac:dyDescent="0.3">
      <c r="A187" s="4"/>
      <c r="B187" s="4"/>
      <c r="C187" s="4"/>
      <c r="D187" s="4"/>
      <c r="E187" s="4"/>
      <c r="F187" s="4"/>
      <c r="G187" s="4"/>
      <c r="H187" s="4"/>
      <c r="I187" s="4"/>
      <c r="J187" s="4"/>
      <c r="K187" s="4"/>
      <c r="L187" s="4"/>
      <c r="M187" s="4"/>
      <c r="N187" s="4"/>
      <c r="O187" s="4"/>
      <c r="P187" s="4"/>
      <c r="Q187" s="4"/>
      <c r="R187" s="4"/>
      <c r="S187" s="4"/>
      <c r="T187" s="4"/>
      <c r="U187" s="4"/>
      <c r="V187" s="4"/>
      <c r="W187" s="4"/>
    </row>
    <row r="188" spans="1:23" x14ac:dyDescent="0.3">
      <c r="A188" s="4"/>
      <c r="B188" s="4"/>
      <c r="C188" s="4"/>
      <c r="D188" s="4"/>
      <c r="E188" s="4"/>
      <c r="F188" s="4"/>
      <c r="G188" s="4"/>
      <c r="H188" s="4"/>
      <c r="I188" s="4"/>
      <c r="J188" s="4"/>
      <c r="K188" s="4"/>
      <c r="L188" s="4"/>
      <c r="M188" s="4"/>
      <c r="N188" s="4"/>
      <c r="O188" s="4"/>
      <c r="P188" s="4"/>
      <c r="Q188" s="4"/>
      <c r="R188" s="4"/>
      <c r="S188" s="4"/>
      <c r="T188" s="4"/>
      <c r="U188" s="4"/>
      <c r="V188" s="4"/>
      <c r="W188" s="4"/>
    </row>
    <row r="189" spans="1:23" x14ac:dyDescent="0.3">
      <c r="A189" s="4"/>
      <c r="B189" s="4"/>
      <c r="C189" s="4"/>
      <c r="D189" s="4"/>
      <c r="E189" s="4"/>
      <c r="F189" s="4"/>
      <c r="G189" s="4"/>
      <c r="H189" s="4"/>
      <c r="I189" s="4"/>
      <c r="J189" s="4"/>
      <c r="K189" s="4"/>
      <c r="L189" s="4"/>
      <c r="M189" s="4"/>
      <c r="N189" s="4"/>
      <c r="O189" s="4"/>
      <c r="P189" s="4"/>
      <c r="Q189" s="4"/>
      <c r="R189" s="4"/>
      <c r="S189" s="4"/>
      <c r="T189" s="4"/>
      <c r="U189" s="4"/>
      <c r="V189" s="4"/>
      <c r="W189" s="4"/>
    </row>
    <row r="190" spans="1:23" x14ac:dyDescent="0.3">
      <c r="A190" s="4"/>
      <c r="B190" s="4"/>
      <c r="C190" s="4"/>
      <c r="D190" s="4"/>
      <c r="E190" s="4"/>
      <c r="F190" s="4"/>
      <c r="G190" s="4"/>
      <c r="H190" s="4"/>
      <c r="I190" s="4"/>
      <c r="J190" s="4"/>
      <c r="K190" s="4"/>
      <c r="L190" s="4"/>
      <c r="M190" s="4"/>
      <c r="N190" s="4"/>
      <c r="O190" s="4"/>
      <c r="P190" s="4"/>
      <c r="Q190" s="4"/>
      <c r="R190" s="4"/>
      <c r="S190" s="4"/>
      <c r="T190" s="4"/>
      <c r="U190" s="4"/>
      <c r="V190" s="4"/>
      <c r="W190" s="4"/>
    </row>
    <row r="191" spans="1:23" x14ac:dyDescent="0.3">
      <c r="A191" s="4"/>
      <c r="B191" s="4"/>
      <c r="C191" s="4"/>
      <c r="D191" s="4"/>
      <c r="E191" s="4"/>
      <c r="F191" s="4"/>
      <c r="G191" s="4"/>
      <c r="H191" s="4"/>
      <c r="I191" s="4"/>
      <c r="J191" s="4"/>
      <c r="K191" s="4"/>
      <c r="L191" s="4"/>
      <c r="M191" s="4"/>
      <c r="N191" s="4"/>
      <c r="O191" s="4"/>
      <c r="P191" s="4"/>
      <c r="Q191" s="4"/>
      <c r="R191" s="4"/>
      <c r="S191" s="4"/>
      <c r="T191" s="4"/>
      <c r="U191" s="4"/>
      <c r="V191" s="4"/>
      <c r="W191" s="4"/>
    </row>
    <row r="192" spans="1:23" x14ac:dyDescent="0.3">
      <c r="A192" s="4"/>
      <c r="B192" s="4"/>
      <c r="C192" s="4"/>
      <c r="D192" s="4"/>
      <c r="E192" s="4"/>
      <c r="F192" s="4"/>
      <c r="G192" s="4"/>
      <c r="H192" s="4"/>
      <c r="I192" s="4"/>
      <c r="J192" s="4"/>
      <c r="K192" s="4"/>
      <c r="L192" s="4"/>
      <c r="M192" s="4"/>
      <c r="N192" s="4"/>
      <c r="O192" s="4"/>
      <c r="P192" s="4"/>
      <c r="Q192" s="4"/>
      <c r="R192" s="4"/>
      <c r="S192" s="4"/>
      <c r="T192" s="4"/>
      <c r="U192" s="4"/>
      <c r="V192" s="4"/>
      <c r="W192" s="4"/>
    </row>
    <row r="193" spans="1:23" x14ac:dyDescent="0.3">
      <c r="A193" s="4"/>
      <c r="B193" s="4"/>
      <c r="C193" s="4"/>
      <c r="D193" s="4"/>
      <c r="E193" s="4"/>
      <c r="F193" s="4"/>
      <c r="G193" s="4"/>
      <c r="H193" s="4"/>
      <c r="I193" s="4"/>
      <c r="J193" s="4"/>
      <c r="K193" s="4"/>
      <c r="L193" s="4"/>
      <c r="M193" s="4"/>
      <c r="N193" s="4"/>
      <c r="O193" s="4"/>
      <c r="P193" s="4"/>
      <c r="Q193" s="4"/>
      <c r="R193" s="4"/>
      <c r="S193" s="4"/>
      <c r="T193" s="4"/>
      <c r="U193" s="4"/>
      <c r="V193" s="4"/>
      <c r="W193" s="4"/>
    </row>
    <row r="194" spans="1:23" x14ac:dyDescent="0.3">
      <c r="A194" s="4"/>
      <c r="B194" s="4"/>
      <c r="C194" s="4"/>
      <c r="D194" s="4"/>
      <c r="E194" s="4"/>
      <c r="F194" s="4"/>
      <c r="G194" s="4"/>
      <c r="H194" s="4"/>
      <c r="I194" s="4"/>
      <c r="J194" s="4"/>
      <c r="K194" s="4"/>
      <c r="L194" s="4"/>
      <c r="M194" s="4"/>
      <c r="N194" s="4"/>
      <c r="O194" s="4"/>
      <c r="P194" s="4"/>
      <c r="Q194" s="4"/>
      <c r="R194" s="4"/>
      <c r="S194" s="4"/>
      <c r="T194" s="4"/>
      <c r="U194" s="4"/>
      <c r="V194" s="4"/>
      <c r="W194" s="4"/>
    </row>
    <row r="195" spans="1:23" x14ac:dyDescent="0.3">
      <c r="A195" s="4"/>
      <c r="B195" s="4"/>
      <c r="C195" s="4"/>
      <c r="D195" s="4"/>
      <c r="E195" s="4"/>
      <c r="F195" s="4"/>
      <c r="G195" s="4"/>
      <c r="H195" s="4"/>
      <c r="I195" s="4"/>
      <c r="J195" s="4"/>
      <c r="K195" s="4"/>
      <c r="L195" s="4"/>
      <c r="M195" s="4"/>
      <c r="N195" s="4"/>
      <c r="O195" s="4"/>
      <c r="P195" s="4"/>
      <c r="Q195" s="4"/>
      <c r="R195" s="4"/>
      <c r="S195" s="4"/>
      <c r="T195" s="4"/>
      <c r="U195" s="4"/>
      <c r="V195" s="4"/>
      <c r="W195" s="4"/>
    </row>
    <row r="196" spans="1:23" x14ac:dyDescent="0.3">
      <c r="A196" s="4"/>
      <c r="B196" s="4"/>
      <c r="C196" s="4"/>
      <c r="D196" s="4"/>
      <c r="E196" s="4"/>
      <c r="F196" s="4"/>
      <c r="G196" s="4"/>
      <c r="H196" s="4"/>
      <c r="I196" s="4"/>
      <c r="J196" s="4"/>
      <c r="K196" s="4"/>
      <c r="L196" s="4"/>
      <c r="M196" s="4"/>
      <c r="N196" s="4"/>
      <c r="O196" s="4"/>
      <c r="P196" s="4"/>
      <c r="Q196" s="4"/>
      <c r="R196" s="4"/>
      <c r="S196" s="4"/>
      <c r="T196" s="4"/>
      <c r="U196" s="4"/>
      <c r="V196" s="4"/>
      <c r="W196" s="4"/>
    </row>
    <row r="197" spans="1:23" x14ac:dyDescent="0.3">
      <c r="A197" s="4"/>
      <c r="B197" s="4"/>
      <c r="C197" s="4"/>
      <c r="D197" s="4"/>
      <c r="E197" s="4"/>
      <c r="F197" s="4"/>
      <c r="G197" s="4"/>
      <c r="H197" s="4"/>
      <c r="I197" s="4"/>
      <c r="J197" s="4"/>
      <c r="K197" s="4"/>
      <c r="L197" s="4"/>
      <c r="M197" s="4"/>
      <c r="N197" s="4"/>
      <c r="O197" s="4"/>
      <c r="P197" s="4"/>
      <c r="Q197" s="4"/>
      <c r="R197" s="4"/>
      <c r="S197" s="4"/>
      <c r="T197" s="4"/>
      <c r="U197" s="4"/>
      <c r="V197" s="4"/>
      <c r="W197" s="4"/>
    </row>
    <row r="198" spans="1:23" x14ac:dyDescent="0.3">
      <c r="A198" s="4"/>
      <c r="B198" s="4"/>
      <c r="C198" s="4"/>
      <c r="D198" s="4"/>
      <c r="E198" s="4"/>
      <c r="F198" s="4"/>
      <c r="G198" s="4"/>
      <c r="H198" s="4"/>
      <c r="I198" s="4"/>
      <c r="J198" s="4"/>
      <c r="K198" s="4"/>
      <c r="L198" s="4"/>
      <c r="M198" s="4"/>
      <c r="N198" s="4"/>
      <c r="O198" s="4"/>
      <c r="P198" s="4"/>
      <c r="Q198" s="4"/>
      <c r="R198" s="4"/>
      <c r="S198" s="4"/>
      <c r="T198" s="4"/>
      <c r="U198" s="4"/>
      <c r="V198" s="4"/>
      <c r="W198" s="4"/>
    </row>
    <row r="199" spans="1:23" x14ac:dyDescent="0.3">
      <c r="A199" s="4"/>
      <c r="B199" s="4"/>
      <c r="C199" s="4"/>
      <c r="D199" s="4"/>
      <c r="E199" s="4"/>
      <c r="F199" s="4"/>
      <c r="G199" s="4"/>
      <c r="H199" s="4"/>
      <c r="I199" s="4"/>
      <c r="J199" s="4"/>
      <c r="K199" s="4"/>
      <c r="L199" s="4"/>
      <c r="M199" s="4"/>
      <c r="N199" s="4"/>
      <c r="O199" s="4"/>
      <c r="P199" s="4"/>
      <c r="Q199" s="4"/>
      <c r="R199" s="4"/>
      <c r="S199" s="4"/>
      <c r="T199" s="4"/>
      <c r="U199" s="4"/>
      <c r="V199" s="4"/>
      <c r="W199" s="4"/>
    </row>
    <row r="200" spans="1:23" x14ac:dyDescent="0.3">
      <c r="A200" s="4"/>
      <c r="B200" s="4"/>
      <c r="C200" s="4"/>
      <c r="D200" s="4"/>
      <c r="E200" s="4"/>
      <c r="F200" s="4"/>
      <c r="G200" s="4"/>
      <c r="H200" s="4"/>
      <c r="I200" s="4"/>
      <c r="J200" s="4"/>
      <c r="K200" s="4"/>
      <c r="L200" s="4"/>
      <c r="M200" s="4"/>
      <c r="N200" s="4"/>
      <c r="O200" s="4"/>
      <c r="P200" s="4"/>
      <c r="Q200" s="4"/>
      <c r="R200" s="4"/>
      <c r="S200" s="4"/>
      <c r="T200" s="4"/>
      <c r="U200" s="4"/>
      <c r="V200" s="4"/>
      <c r="W200" s="4"/>
    </row>
    <row r="201" spans="1:23" x14ac:dyDescent="0.3">
      <c r="A201" s="4"/>
      <c r="B201" s="4"/>
      <c r="C201" s="4"/>
      <c r="D201" s="4"/>
      <c r="E201" s="4"/>
      <c r="F201" s="4"/>
      <c r="G201" s="4"/>
      <c r="H201" s="4"/>
      <c r="I201" s="4"/>
      <c r="J201" s="4"/>
      <c r="K201" s="4"/>
      <c r="L201" s="4"/>
      <c r="M201" s="4"/>
      <c r="N201" s="4"/>
      <c r="O201" s="4"/>
      <c r="P201" s="4"/>
      <c r="Q201" s="4"/>
      <c r="R201" s="4"/>
      <c r="S201" s="4"/>
      <c r="T201" s="4"/>
      <c r="U201" s="4"/>
      <c r="V201" s="4"/>
      <c r="W201" s="4"/>
    </row>
    <row r="202" spans="1:23" x14ac:dyDescent="0.3">
      <c r="A202" s="4"/>
      <c r="B202" s="4"/>
      <c r="C202" s="4"/>
      <c r="D202" s="4"/>
      <c r="E202" s="4"/>
      <c r="F202" s="4"/>
      <c r="G202" s="4"/>
      <c r="H202" s="4"/>
      <c r="I202" s="4"/>
      <c r="J202" s="4"/>
      <c r="K202" s="4"/>
      <c r="L202" s="4"/>
      <c r="M202" s="4"/>
      <c r="N202" s="4"/>
      <c r="O202" s="4"/>
      <c r="P202" s="4"/>
      <c r="Q202" s="4"/>
      <c r="R202" s="4"/>
      <c r="S202" s="4"/>
      <c r="T202" s="4"/>
      <c r="U202" s="4"/>
      <c r="V202" s="4"/>
      <c r="W202" s="4"/>
    </row>
    <row r="203" spans="1:23" x14ac:dyDescent="0.3">
      <c r="A203" s="4"/>
      <c r="B203" s="4"/>
      <c r="C203" s="4"/>
      <c r="D203" s="4"/>
      <c r="E203" s="4"/>
      <c r="F203" s="4"/>
      <c r="G203" s="4"/>
      <c r="H203" s="4"/>
      <c r="I203" s="4"/>
      <c r="J203" s="4"/>
      <c r="K203" s="4"/>
      <c r="L203" s="4"/>
      <c r="M203" s="4"/>
      <c r="N203" s="4"/>
      <c r="O203" s="4"/>
      <c r="P203" s="4"/>
      <c r="Q203" s="4"/>
      <c r="R203" s="4"/>
      <c r="S203" s="4"/>
      <c r="T203" s="4"/>
      <c r="U203" s="4"/>
      <c r="V203" s="4"/>
      <c r="W203" s="4"/>
    </row>
    <row r="204" spans="1:23" x14ac:dyDescent="0.3">
      <c r="A204" s="4"/>
      <c r="B204" s="4"/>
      <c r="C204" s="4"/>
      <c r="D204" s="4"/>
      <c r="E204" s="4"/>
      <c r="F204" s="4"/>
      <c r="G204" s="4"/>
      <c r="H204" s="4"/>
      <c r="I204" s="4"/>
      <c r="J204" s="4"/>
      <c r="K204" s="4"/>
      <c r="L204" s="4"/>
      <c r="M204" s="4"/>
      <c r="N204" s="4"/>
      <c r="O204" s="4"/>
      <c r="P204" s="4"/>
      <c r="Q204" s="4"/>
      <c r="R204" s="4"/>
      <c r="S204" s="4"/>
      <c r="T204" s="4"/>
      <c r="U204" s="4"/>
      <c r="V204" s="4"/>
      <c r="W204" s="4"/>
    </row>
    <row r="205" spans="1:23" x14ac:dyDescent="0.3">
      <c r="A205" s="4"/>
      <c r="B205" s="4"/>
      <c r="C205" s="4"/>
      <c r="D205" s="4"/>
      <c r="E205" s="4"/>
      <c r="F205" s="4"/>
      <c r="G205" s="4"/>
      <c r="H205" s="4"/>
      <c r="I205" s="4"/>
      <c r="J205" s="4"/>
      <c r="K205" s="4"/>
      <c r="L205" s="4"/>
      <c r="M205" s="4"/>
      <c r="N205" s="4"/>
      <c r="O205" s="4"/>
      <c r="P205" s="4"/>
      <c r="Q205" s="4"/>
      <c r="R205" s="4"/>
      <c r="S205" s="4"/>
      <c r="T205" s="4"/>
      <c r="U205" s="4"/>
      <c r="V205" s="4"/>
      <c r="W205" s="4"/>
    </row>
    <row r="206" spans="1:23" x14ac:dyDescent="0.3">
      <c r="A206" s="4"/>
      <c r="B206" s="4"/>
      <c r="C206" s="4"/>
      <c r="D206" s="4"/>
      <c r="E206" s="4"/>
      <c r="F206" s="4"/>
      <c r="G206" s="4"/>
      <c r="H206" s="4"/>
      <c r="I206" s="4"/>
      <c r="J206" s="4"/>
      <c r="K206" s="4"/>
      <c r="L206" s="4"/>
      <c r="M206" s="4"/>
      <c r="N206" s="4"/>
      <c r="O206" s="4"/>
      <c r="P206" s="4"/>
      <c r="Q206" s="4"/>
      <c r="R206" s="4"/>
      <c r="S206" s="4"/>
      <c r="T206" s="4"/>
      <c r="U206" s="4"/>
      <c r="V206" s="4"/>
      <c r="W206" s="4"/>
    </row>
  </sheetData>
  <mergeCells count="1">
    <mergeCell ref="B3: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33"/>
  <sheetViews>
    <sheetView workbookViewId="0">
      <selection activeCell="P10" sqref="P10"/>
    </sheetView>
  </sheetViews>
  <sheetFormatPr defaultRowHeight="14.4" x14ac:dyDescent="0.3"/>
  <cols>
    <col min="1" max="1" width="9.33203125" customWidth="1"/>
    <col min="2" max="2" width="10.5546875" style="1" bestFit="1" customWidth="1"/>
    <col min="3" max="3" width="10" customWidth="1"/>
    <col min="4" max="4" width="14.33203125" customWidth="1"/>
    <col min="5" max="5" width="12.6640625" bestFit="1" customWidth="1"/>
    <col min="9" max="9" width="11.5546875" customWidth="1"/>
    <col min="10" max="10" width="10" customWidth="1"/>
  </cols>
  <sheetData>
    <row r="2" spans="1:11" x14ac:dyDescent="0.3">
      <c r="A2" s="2" t="s">
        <v>0</v>
      </c>
      <c r="B2" s="3" t="s">
        <v>4</v>
      </c>
      <c r="C2" s="2" t="s">
        <v>5</v>
      </c>
      <c r="D2" s="2" t="s">
        <v>11</v>
      </c>
      <c r="E2" s="2" t="s">
        <v>12</v>
      </c>
      <c r="F2" s="2" t="s">
        <v>20</v>
      </c>
      <c r="G2" s="2" t="s">
        <v>23</v>
      </c>
      <c r="H2" s="2" t="s">
        <v>13</v>
      </c>
      <c r="I2" s="2" t="s">
        <v>14</v>
      </c>
      <c r="J2" s="2" t="s">
        <v>16</v>
      </c>
      <c r="K2" s="2" t="s">
        <v>17</v>
      </c>
    </row>
    <row r="3" spans="1:11" x14ac:dyDescent="0.3">
      <c r="A3" t="s">
        <v>1</v>
      </c>
      <c r="B3" s="1">
        <v>44197</v>
      </c>
      <c r="C3" t="s">
        <v>6</v>
      </c>
      <c r="D3" t="s">
        <v>18</v>
      </c>
      <c r="E3">
        <v>148</v>
      </c>
      <c r="F3">
        <v>2</v>
      </c>
      <c r="G3">
        <v>49</v>
      </c>
      <c r="H3">
        <v>32</v>
      </c>
      <c r="I3">
        <v>14</v>
      </c>
      <c r="J3">
        <v>16</v>
      </c>
      <c r="K3">
        <v>83</v>
      </c>
    </row>
    <row r="4" spans="1:11" x14ac:dyDescent="0.3">
      <c r="A4" t="s">
        <v>1</v>
      </c>
      <c r="B4" s="1">
        <v>44392</v>
      </c>
      <c r="C4" t="s">
        <v>7</v>
      </c>
      <c r="D4" t="s">
        <v>19</v>
      </c>
      <c r="E4">
        <v>132</v>
      </c>
      <c r="F4">
        <v>4</v>
      </c>
      <c r="G4">
        <v>41</v>
      </c>
      <c r="H4">
        <v>43</v>
      </c>
      <c r="I4">
        <v>31</v>
      </c>
      <c r="J4">
        <v>23</v>
      </c>
      <c r="K4">
        <v>86</v>
      </c>
    </row>
    <row r="5" spans="1:11" x14ac:dyDescent="0.3">
      <c r="A5" t="s">
        <v>1</v>
      </c>
      <c r="B5" s="1">
        <v>44546</v>
      </c>
      <c r="C5" t="s">
        <v>8</v>
      </c>
      <c r="D5" t="s">
        <v>31</v>
      </c>
      <c r="E5">
        <v>112</v>
      </c>
      <c r="F5">
        <v>4</v>
      </c>
      <c r="G5">
        <v>42</v>
      </c>
      <c r="H5">
        <v>46</v>
      </c>
      <c r="I5">
        <v>33</v>
      </c>
      <c r="J5">
        <v>22</v>
      </c>
      <c r="K5">
        <v>87</v>
      </c>
    </row>
    <row r="6" spans="1:11" x14ac:dyDescent="0.3">
      <c r="A6" t="s">
        <v>1</v>
      </c>
      <c r="B6" s="1">
        <v>44245</v>
      </c>
      <c r="C6" t="s">
        <v>9</v>
      </c>
      <c r="D6" t="s">
        <v>31</v>
      </c>
      <c r="E6">
        <v>108</v>
      </c>
      <c r="F6">
        <v>3</v>
      </c>
      <c r="G6">
        <v>40</v>
      </c>
      <c r="H6">
        <v>44</v>
      </c>
      <c r="I6">
        <v>30</v>
      </c>
      <c r="J6">
        <v>20</v>
      </c>
      <c r="K6">
        <v>94</v>
      </c>
    </row>
    <row r="7" spans="1:11" x14ac:dyDescent="0.3">
      <c r="A7" t="s">
        <v>1</v>
      </c>
      <c r="B7" s="1">
        <v>44526</v>
      </c>
      <c r="C7" t="s">
        <v>10</v>
      </c>
      <c r="D7" t="s">
        <v>18</v>
      </c>
      <c r="E7">
        <v>137</v>
      </c>
      <c r="F7">
        <v>5</v>
      </c>
      <c r="G7">
        <v>50</v>
      </c>
      <c r="H7">
        <v>48</v>
      </c>
      <c r="I7">
        <v>32</v>
      </c>
      <c r="J7">
        <v>22</v>
      </c>
      <c r="K7">
        <v>81</v>
      </c>
    </row>
    <row r="8" spans="1:11" x14ac:dyDescent="0.3">
      <c r="A8" t="s">
        <v>2</v>
      </c>
      <c r="B8" s="1">
        <v>44245</v>
      </c>
      <c r="C8" t="s">
        <v>6</v>
      </c>
      <c r="D8" t="s">
        <v>32</v>
      </c>
      <c r="E8">
        <v>132</v>
      </c>
      <c r="F8">
        <v>5</v>
      </c>
      <c r="G8">
        <v>42</v>
      </c>
      <c r="H8">
        <v>47</v>
      </c>
      <c r="I8">
        <v>33</v>
      </c>
      <c r="J8">
        <v>24</v>
      </c>
      <c r="K8">
        <v>90</v>
      </c>
    </row>
    <row r="9" spans="1:11" x14ac:dyDescent="0.3">
      <c r="A9" t="s">
        <v>2</v>
      </c>
      <c r="B9" s="1">
        <v>44244</v>
      </c>
      <c r="C9" t="s">
        <v>7</v>
      </c>
      <c r="D9" t="s">
        <v>36</v>
      </c>
      <c r="E9">
        <v>149</v>
      </c>
      <c r="F9">
        <v>1</v>
      </c>
      <c r="G9">
        <v>52</v>
      </c>
      <c r="H9">
        <v>47</v>
      </c>
      <c r="I9">
        <v>31</v>
      </c>
      <c r="J9">
        <v>24</v>
      </c>
      <c r="K9">
        <v>84</v>
      </c>
    </row>
    <row r="10" spans="1:11" x14ac:dyDescent="0.3">
      <c r="A10" t="s">
        <v>2</v>
      </c>
      <c r="B10" s="1">
        <v>44484</v>
      </c>
      <c r="C10" t="s">
        <v>8</v>
      </c>
      <c r="D10" t="s">
        <v>35</v>
      </c>
      <c r="E10">
        <v>139</v>
      </c>
      <c r="F10">
        <v>3</v>
      </c>
      <c r="G10">
        <v>47</v>
      </c>
      <c r="H10">
        <v>50</v>
      </c>
      <c r="I10">
        <v>33</v>
      </c>
      <c r="J10">
        <v>20</v>
      </c>
      <c r="K10">
        <v>93</v>
      </c>
    </row>
    <row r="11" spans="1:11" x14ac:dyDescent="0.3">
      <c r="A11" t="s">
        <v>2</v>
      </c>
      <c r="B11" s="1">
        <v>44451</v>
      </c>
      <c r="C11" t="s">
        <v>9</v>
      </c>
      <c r="D11" t="s">
        <v>36</v>
      </c>
      <c r="E11">
        <v>139</v>
      </c>
      <c r="F11">
        <v>5</v>
      </c>
      <c r="G11">
        <v>44</v>
      </c>
      <c r="H11">
        <v>41</v>
      </c>
      <c r="I11">
        <v>31</v>
      </c>
      <c r="J11">
        <v>19</v>
      </c>
      <c r="K11">
        <v>84</v>
      </c>
    </row>
    <row r="12" spans="1:11" x14ac:dyDescent="0.3">
      <c r="A12" t="s">
        <v>2</v>
      </c>
      <c r="B12" s="1">
        <v>44515</v>
      </c>
      <c r="C12" t="s">
        <v>10</v>
      </c>
      <c r="D12" t="s">
        <v>35</v>
      </c>
      <c r="E12">
        <v>118</v>
      </c>
      <c r="F12">
        <v>1</v>
      </c>
      <c r="G12">
        <v>45</v>
      </c>
      <c r="H12">
        <v>41</v>
      </c>
      <c r="I12">
        <v>32</v>
      </c>
      <c r="J12">
        <v>15</v>
      </c>
      <c r="K12">
        <v>86</v>
      </c>
    </row>
    <row r="13" spans="1:11" x14ac:dyDescent="0.3">
      <c r="A13" t="s">
        <v>2</v>
      </c>
      <c r="B13" s="1">
        <v>44587</v>
      </c>
      <c r="C13" t="s">
        <v>6</v>
      </c>
      <c r="D13" t="s">
        <v>36</v>
      </c>
      <c r="E13">
        <v>100</v>
      </c>
      <c r="F13">
        <v>1</v>
      </c>
      <c r="G13">
        <v>49</v>
      </c>
      <c r="H13">
        <v>43</v>
      </c>
      <c r="I13">
        <v>31</v>
      </c>
      <c r="J13">
        <v>21</v>
      </c>
      <c r="K13">
        <v>76</v>
      </c>
    </row>
    <row r="14" spans="1:11" x14ac:dyDescent="0.3">
      <c r="A14" t="s">
        <v>2</v>
      </c>
      <c r="B14" s="1">
        <v>44405</v>
      </c>
      <c r="C14" t="s">
        <v>7</v>
      </c>
      <c r="D14" t="s">
        <v>35</v>
      </c>
      <c r="E14">
        <v>113</v>
      </c>
      <c r="F14">
        <v>3</v>
      </c>
      <c r="G14">
        <v>46</v>
      </c>
      <c r="H14">
        <v>49</v>
      </c>
      <c r="I14">
        <v>31</v>
      </c>
      <c r="J14">
        <v>23</v>
      </c>
      <c r="K14">
        <v>90</v>
      </c>
    </row>
    <row r="15" spans="1:11" x14ac:dyDescent="0.3">
      <c r="A15" t="s">
        <v>3</v>
      </c>
      <c r="B15" s="1">
        <v>44386</v>
      </c>
      <c r="C15" t="s">
        <v>8</v>
      </c>
      <c r="D15" t="s">
        <v>33</v>
      </c>
      <c r="E15">
        <v>134</v>
      </c>
      <c r="F15">
        <v>5</v>
      </c>
      <c r="G15">
        <v>46</v>
      </c>
      <c r="H15">
        <v>45</v>
      </c>
      <c r="I15">
        <v>33</v>
      </c>
      <c r="J15">
        <v>17</v>
      </c>
      <c r="K15">
        <v>94</v>
      </c>
    </row>
    <row r="16" spans="1:11" x14ac:dyDescent="0.3">
      <c r="A16" t="s">
        <v>3</v>
      </c>
      <c r="B16" s="1">
        <v>44537</v>
      </c>
      <c r="C16" t="s">
        <v>9</v>
      </c>
      <c r="D16" t="s">
        <v>21</v>
      </c>
      <c r="E16">
        <v>119</v>
      </c>
      <c r="F16">
        <v>4</v>
      </c>
      <c r="G16">
        <v>44</v>
      </c>
      <c r="H16">
        <v>45</v>
      </c>
      <c r="I16">
        <v>30</v>
      </c>
      <c r="J16">
        <v>17</v>
      </c>
      <c r="K16">
        <v>76</v>
      </c>
    </row>
    <row r="17" spans="1:11" x14ac:dyDescent="0.3">
      <c r="A17" t="s">
        <v>3</v>
      </c>
      <c r="B17" s="1">
        <v>44512</v>
      </c>
      <c r="C17" t="s">
        <v>10</v>
      </c>
      <c r="D17" t="s">
        <v>22</v>
      </c>
      <c r="E17">
        <v>100</v>
      </c>
      <c r="F17">
        <v>2</v>
      </c>
      <c r="G17">
        <v>49</v>
      </c>
      <c r="H17">
        <v>44</v>
      </c>
      <c r="I17">
        <v>30</v>
      </c>
      <c r="J17">
        <v>22</v>
      </c>
      <c r="K17">
        <v>93</v>
      </c>
    </row>
    <row r="18" spans="1:11" x14ac:dyDescent="0.3">
      <c r="A18" t="s">
        <v>3</v>
      </c>
      <c r="B18" s="1">
        <v>44251</v>
      </c>
      <c r="C18" t="s">
        <v>6</v>
      </c>
      <c r="D18" t="s">
        <v>33</v>
      </c>
      <c r="E18">
        <v>114</v>
      </c>
      <c r="F18">
        <v>1</v>
      </c>
      <c r="G18">
        <v>52</v>
      </c>
      <c r="H18">
        <v>45</v>
      </c>
      <c r="I18">
        <v>35</v>
      </c>
      <c r="J18">
        <v>25</v>
      </c>
      <c r="K18">
        <v>96</v>
      </c>
    </row>
    <row r="19" spans="1:11" x14ac:dyDescent="0.3">
      <c r="A19" t="s">
        <v>3</v>
      </c>
      <c r="B19" s="1">
        <v>44553</v>
      </c>
      <c r="C19" t="s">
        <v>7</v>
      </c>
      <c r="D19" t="s">
        <v>21</v>
      </c>
      <c r="E19">
        <v>103</v>
      </c>
      <c r="F19">
        <v>5</v>
      </c>
      <c r="G19">
        <v>53</v>
      </c>
      <c r="H19">
        <v>46</v>
      </c>
      <c r="I19">
        <v>35</v>
      </c>
      <c r="J19">
        <v>21</v>
      </c>
      <c r="K19">
        <v>77</v>
      </c>
    </row>
    <row r="20" spans="1:11" x14ac:dyDescent="0.3">
      <c r="A20" t="s">
        <v>3</v>
      </c>
      <c r="B20" s="1">
        <v>44357</v>
      </c>
      <c r="C20" t="s">
        <v>8</v>
      </c>
      <c r="D20" t="s">
        <v>22</v>
      </c>
      <c r="E20">
        <v>136</v>
      </c>
      <c r="F20">
        <v>4</v>
      </c>
      <c r="G20">
        <v>53</v>
      </c>
      <c r="H20">
        <v>48</v>
      </c>
      <c r="I20">
        <v>31</v>
      </c>
      <c r="J20">
        <v>16</v>
      </c>
      <c r="K20">
        <v>100</v>
      </c>
    </row>
    <row r="21" spans="1:11" x14ac:dyDescent="0.3">
      <c r="A21" t="s">
        <v>3</v>
      </c>
      <c r="B21" s="1">
        <v>44250</v>
      </c>
      <c r="C21" t="s">
        <v>9</v>
      </c>
      <c r="D21" t="s">
        <v>33</v>
      </c>
      <c r="E21">
        <v>113</v>
      </c>
      <c r="F21">
        <v>4</v>
      </c>
      <c r="G21">
        <v>47</v>
      </c>
      <c r="H21">
        <v>43</v>
      </c>
      <c r="I21">
        <v>30</v>
      </c>
      <c r="J21">
        <v>22</v>
      </c>
      <c r="K21">
        <v>99</v>
      </c>
    </row>
    <row r="22" spans="1:11" x14ac:dyDescent="0.3">
      <c r="A22" t="s">
        <v>3</v>
      </c>
      <c r="B22" s="1">
        <v>44371</v>
      </c>
      <c r="C22" t="s">
        <v>10</v>
      </c>
      <c r="D22" t="s">
        <v>21</v>
      </c>
      <c r="E22">
        <v>149</v>
      </c>
      <c r="F22">
        <v>2</v>
      </c>
      <c r="G22">
        <v>55</v>
      </c>
      <c r="H22">
        <v>50</v>
      </c>
      <c r="I22">
        <v>30</v>
      </c>
      <c r="J22">
        <v>17</v>
      </c>
      <c r="K22">
        <v>89</v>
      </c>
    </row>
    <row r="23" spans="1:11" x14ac:dyDescent="0.3">
      <c r="A23" t="s">
        <v>3</v>
      </c>
      <c r="B23" s="1">
        <v>44515</v>
      </c>
      <c r="C23" t="s">
        <v>6</v>
      </c>
      <c r="D23" t="s">
        <v>22</v>
      </c>
      <c r="E23">
        <v>145</v>
      </c>
      <c r="F23">
        <v>3</v>
      </c>
      <c r="G23">
        <v>42</v>
      </c>
      <c r="H23">
        <v>42</v>
      </c>
      <c r="I23">
        <v>34</v>
      </c>
      <c r="J23">
        <v>17</v>
      </c>
      <c r="K23">
        <v>75</v>
      </c>
    </row>
    <row r="24" spans="1:11" x14ac:dyDescent="0.3">
      <c r="A24" t="s">
        <v>3</v>
      </c>
      <c r="B24" s="1">
        <v>44323</v>
      </c>
      <c r="C24" t="s">
        <v>7</v>
      </c>
      <c r="D24" t="s">
        <v>33</v>
      </c>
      <c r="E24">
        <v>111</v>
      </c>
      <c r="F24">
        <v>5</v>
      </c>
      <c r="G24">
        <v>48</v>
      </c>
      <c r="H24">
        <v>49</v>
      </c>
      <c r="I24">
        <v>30</v>
      </c>
      <c r="J24">
        <v>21</v>
      </c>
      <c r="K24">
        <v>100</v>
      </c>
    </row>
    <row r="25" spans="1:11" x14ac:dyDescent="0.3">
      <c r="A25" t="s">
        <v>3</v>
      </c>
      <c r="B25" s="1">
        <v>44431</v>
      </c>
      <c r="C25" t="s">
        <v>8</v>
      </c>
      <c r="D25" t="s">
        <v>21</v>
      </c>
      <c r="E25">
        <v>105</v>
      </c>
      <c r="F25">
        <v>2</v>
      </c>
      <c r="G25">
        <v>40</v>
      </c>
      <c r="H25">
        <v>45</v>
      </c>
      <c r="I25">
        <v>31</v>
      </c>
      <c r="J25">
        <v>16</v>
      </c>
      <c r="K25">
        <v>84</v>
      </c>
    </row>
    <row r="26" spans="1:11" x14ac:dyDescent="0.3">
      <c r="A26" t="s">
        <v>3</v>
      </c>
      <c r="B26" s="1">
        <v>44517</v>
      </c>
      <c r="C26" t="s">
        <v>9</v>
      </c>
      <c r="D26" t="s">
        <v>22</v>
      </c>
      <c r="E26">
        <v>134</v>
      </c>
      <c r="F26">
        <v>1</v>
      </c>
      <c r="G26">
        <v>47</v>
      </c>
      <c r="H26">
        <v>46</v>
      </c>
      <c r="I26">
        <v>31</v>
      </c>
      <c r="J26">
        <v>16</v>
      </c>
      <c r="K26">
        <v>84</v>
      </c>
    </row>
    <row r="27" spans="1:11" x14ac:dyDescent="0.3">
      <c r="A27" t="s">
        <v>3</v>
      </c>
      <c r="B27" s="1">
        <v>44593</v>
      </c>
      <c r="C27" t="s">
        <v>10</v>
      </c>
      <c r="D27" t="s">
        <v>33</v>
      </c>
      <c r="E27">
        <v>109</v>
      </c>
      <c r="F27">
        <v>1</v>
      </c>
      <c r="G27">
        <v>42</v>
      </c>
      <c r="H27">
        <v>47</v>
      </c>
      <c r="I27">
        <v>35</v>
      </c>
      <c r="J27">
        <v>20</v>
      </c>
      <c r="K27">
        <v>78</v>
      </c>
    </row>
    <row r="28" spans="1:11" x14ac:dyDescent="0.3">
      <c r="A28" t="s">
        <v>3</v>
      </c>
      <c r="B28" s="1">
        <v>44502</v>
      </c>
      <c r="C28" t="s">
        <v>6</v>
      </c>
      <c r="D28" t="s">
        <v>21</v>
      </c>
      <c r="E28">
        <v>129</v>
      </c>
      <c r="F28">
        <v>1</v>
      </c>
      <c r="G28">
        <v>41</v>
      </c>
      <c r="H28">
        <v>45</v>
      </c>
      <c r="I28">
        <v>34</v>
      </c>
      <c r="J28">
        <v>21</v>
      </c>
      <c r="K28">
        <v>91</v>
      </c>
    </row>
    <row r="29" spans="1:11" x14ac:dyDescent="0.3">
      <c r="A29" t="s">
        <v>3</v>
      </c>
      <c r="B29" s="1">
        <v>44536</v>
      </c>
      <c r="C29" t="s">
        <v>7</v>
      </c>
      <c r="D29" t="s">
        <v>22</v>
      </c>
      <c r="E29">
        <v>144</v>
      </c>
      <c r="F29">
        <v>3</v>
      </c>
      <c r="G29">
        <v>54</v>
      </c>
      <c r="H29">
        <v>42</v>
      </c>
      <c r="I29">
        <v>34</v>
      </c>
      <c r="J29">
        <v>19</v>
      </c>
      <c r="K29">
        <v>83</v>
      </c>
    </row>
    <row r="30" spans="1:11" x14ac:dyDescent="0.3">
      <c r="A30" t="s">
        <v>3</v>
      </c>
      <c r="B30" s="1">
        <v>44244</v>
      </c>
      <c r="C30" t="s">
        <v>8</v>
      </c>
      <c r="D30" t="s">
        <v>33</v>
      </c>
      <c r="E30">
        <v>143</v>
      </c>
      <c r="F30">
        <v>4</v>
      </c>
      <c r="G30">
        <v>45</v>
      </c>
      <c r="H30">
        <v>48</v>
      </c>
      <c r="I30">
        <v>30</v>
      </c>
      <c r="J30">
        <v>21</v>
      </c>
      <c r="K30">
        <v>86</v>
      </c>
    </row>
    <row r="31" spans="1:11" x14ac:dyDescent="0.3">
      <c r="A31" t="s">
        <v>3</v>
      </c>
      <c r="B31" s="1">
        <v>44587</v>
      </c>
      <c r="C31" t="s">
        <v>9</v>
      </c>
      <c r="D31" t="s">
        <v>21</v>
      </c>
      <c r="E31">
        <v>110</v>
      </c>
      <c r="F31">
        <v>3</v>
      </c>
      <c r="G31">
        <v>44</v>
      </c>
      <c r="H31">
        <v>46</v>
      </c>
      <c r="I31">
        <v>31</v>
      </c>
      <c r="J31">
        <v>24</v>
      </c>
      <c r="K31">
        <v>86</v>
      </c>
    </row>
    <row r="32" spans="1:11" x14ac:dyDescent="0.3">
      <c r="A32" t="s">
        <v>3</v>
      </c>
      <c r="B32" s="1">
        <v>44511</v>
      </c>
      <c r="C32" t="s">
        <v>10</v>
      </c>
      <c r="D32" t="s">
        <v>22</v>
      </c>
      <c r="E32">
        <v>149</v>
      </c>
      <c r="F32">
        <v>1</v>
      </c>
      <c r="G32">
        <v>42</v>
      </c>
      <c r="H32">
        <v>46</v>
      </c>
      <c r="I32">
        <v>32</v>
      </c>
      <c r="J32">
        <v>18</v>
      </c>
      <c r="K32">
        <v>99</v>
      </c>
    </row>
    <row r="33" spans="1:11" x14ac:dyDescent="0.3">
      <c r="A33" t="s">
        <v>1</v>
      </c>
      <c r="B33" s="1">
        <v>44230</v>
      </c>
      <c r="C33" t="s">
        <v>6</v>
      </c>
      <c r="D33" t="s">
        <v>18</v>
      </c>
      <c r="E33">
        <v>142</v>
      </c>
      <c r="F33">
        <v>1</v>
      </c>
      <c r="G33">
        <v>43</v>
      </c>
      <c r="H33">
        <v>42</v>
      </c>
      <c r="I33">
        <v>31</v>
      </c>
      <c r="J33">
        <v>24</v>
      </c>
      <c r="K33">
        <v>86</v>
      </c>
    </row>
    <row r="34" spans="1:11" x14ac:dyDescent="0.3">
      <c r="A34" t="s">
        <v>2</v>
      </c>
      <c r="B34" s="1">
        <v>44564</v>
      </c>
      <c r="C34" t="s">
        <v>7</v>
      </c>
      <c r="D34" t="s">
        <v>32</v>
      </c>
      <c r="E34">
        <v>130</v>
      </c>
      <c r="F34">
        <v>5</v>
      </c>
      <c r="G34">
        <v>48</v>
      </c>
      <c r="H34">
        <v>50</v>
      </c>
      <c r="I34">
        <v>30</v>
      </c>
      <c r="J34">
        <v>15</v>
      </c>
      <c r="K34">
        <v>98</v>
      </c>
    </row>
    <row r="35" spans="1:11" x14ac:dyDescent="0.3">
      <c r="A35" t="s">
        <v>2</v>
      </c>
      <c r="B35" s="1">
        <v>44229</v>
      </c>
      <c r="C35" t="s">
        <v>8</v>
      </c>
      <c r="D35" t="s">
        <v>32</v>
      </c>
      <c r="E35">
        <v>125</v>
      </c>
      <c r="F35">
        <v>4</v>
      </c>
      <c r="G35">
        <v>55</v>
      </c>
      <c r="H35">
        <v>42</v>
      </c>
      <c r="I35">
        <v>35</v>
      </c>
      <c r="J35">
        <v>23</v>
      </c>
      <c r="K35">
        <v>93</v>
      </c>
    </row>
    <row r="36" spans="1:11" x14ac:dyDescent="0.3">
      <c r="A36" t="s">
        <v>2</v>
      </c>
      <c r="B36" s="1">
        <v>44388</v>
      </c>
      <c r="C36" t="s">
        <v>9</v>
      </c>
      <c r="D36" t="s">
        <v>35</v>
      </c>
      <c r="E36">
        <v>110</v>
      </c>
      <c r="F36">
        <v>2</v>
      </c>
      <c r="G36">
        <v>52</v>
      </c>
      <c r="H36">
        <v>44</v>
      </c>
      <c r="I36">
        <v>34</v>
      </c>
      <c r="J36">
        <v>15</v>
      </c>
      <c r="K36">
        <v>86</v>
      </c>
    </row>
    <row r="37" spans="1:11" x14ac:dyDescent="0.3">
      <c r="A37" t="s">
        <v>2</v>
      </c>
      <c r="B37" s="1">
        <v>44502</v>
      </c>
      <c r="C37" t="s">
        <v>10</v>
      </c>
      <c r="D37" t="s">
        <v>32</v>
      </c>
      <c r="E37">
        <v>111</v>
      </c>
      <c r="F37">
        <v>4</v>
      </c>
      <c r="G37">
        <v>44</v>
      </c>
      <c r="H37">
        <v>48</v>
      </c>
      <c r="I37">
        <v>32</v>
      </c>
      <c r="J37">
        <v>20</v>
      </c>
      <c r="K37">
        <v>91</v>
      </c>
    </row>
    <row r="38" spans="1:11" x14ac:dyDescent="0.3">
      <c r="A38" t="s">
        <v>2</v>
      </c>
      <c r="B38" s="1">
        <v>44804</v>
      </c>
      <c r="C38" t="s">
        <v>6</v>
      </c>
      <c r="D38" t="s">
        <v>32</v>
      </c>
      <c r="E38">
        <v>137</v>
      </c>
      <c r="F38">
        <v>1</v>
      </c>
      <c r="G38">
        <v>53</v>
      </c>
      <c r="H38">
        <v>42</v>
      </c>
      <c r="I38">
        <v>31</v>
      </c>
      <c r="J38">
        <v>18</v>
      </c>
      <c r="K38">
        <v>83</v>
      </c>
    </row>
    <row r="39" spans="1:11" x14ac:dyDescent="0.3">
      <c r="A39" t="s">
        <v>2</v>
      </c>
      <c r="B39" s="1">
        <v>44312</v>
      </c>
      <c r="C39" t="s">
        <v>7</v>
      </c>
      <c r="D39" t="s">
        <v>35</v>
      </c>
      <c r="E39">
        <v>135</v>
      </c>
      <c r="F39">
        <v>2</v>
      </c>
      <c r="G39">
        <v>40</v>
      </c>
      <c r="H39">
        <v>50</v>
      </c>
      <c r="I39">
        <v>35</v>
      </c>
      <c r="J39">
        <v>23</v>
      </c>
      <c r="K39">
        <v>77</v>
      </c>
    </row>
    <row r="40" spans="1:11" x14ac:dyDescent="0.3">
      <c r="A40" t="s">
        <v>2</v>
      </c>
      <c r="B40" s="1">
        <v>44366</v>
      </c>
      <c r="C40" t="s">
        <v>8</v>
      </c>
      <c r="D40" t="s">
        <v>36</v>
      </c>
      <c r="E40">
        <v>107</v>
      </c>
      <c r="F40">
        <v>1</v>
      </c>
      <c r="G40">
        <v>47</v>
      </c>
      <c r="H40">
        <v>48</v>
      </c>
      <c r="I40">
        <v>32</v>
      </c>
      <c r="J40">
        <v>19</v>
      </c>
      <c r="K40">
        <v>80</v>
      </c>
    </row>
    <row r="41" spans="1:11" x14ac:dyDescent="0.3">
      <c r="A41" t="s">
        <v>3</v>
      </c>
      <c r="B41" s="1">
        <v>44400</v>
      </c>
      <c r="C41" t="s">
        <v>9</v>
      </c>
      <c r="D41" t="s">
        <v>22</v>
      </c>
      <c r="E41">
        <v>134</v>
      </c>
      <c r="F41">
        <v>3</v>
      </c>
      <c r="G41">
        <v>44</v>
      </c>
      <c r="H41">
        <v>50</v>
      </c>
      <c r="I41">
        <v>35</v>
      </c>
      <c r="J41">
        <v>19</v>
      </c>
      <c r="K41">
        <v>93</v>
      </c>
    </row>
    <row r="42" spans="1:11" x14ac:dyDescent="0.3">
      <c r="A42" t="s">
        <v>3</v>
      </c>
      <c r="B42" s="1">
        <v>44478</v>
      </c>
      <c r="C42" t="s">
        <v>10</v>
      </c>
      <c r="D42" t="s">
        <v>33</v>
      </c>
      <c r="E42">
        <v>140</v>
      </c>
      <c r="F42">
        <v>1</v>
      </c>
      <c r="G42">
        <v>47</v>
      </c>
      <c r="H42">
        <v>42</v>
      </c>
      <c r="I42">
        <v>31</v>
      </c>
      <c r="J42">
        <v>23</v>
      </c>
      <c r="K42">
        <v>79</v>
      </c>
    </row>
    <row r="43" spans="1:11" x14ac:dyDescent="0.3">
      <c r="A43" t="s">
        <v>3</v>
      </c>
      <c r="B43" s="1">
        <v>44289</v>
      </c>
      <c r="C43" t="s">
        <v>6</v>
      </c>
      <c r="D43" t="s">
        <v>21</v>
      </c>
      <c r="E43">
        <v>110</v>
      </c>
      <c r="F43">
        <v>1</v>
      </c>
      <c r="G43">
        <v>44</v>
      </c>
      <c r="H43">
        <v>42</v>
      </c>
      <c r="I43">
        <v>32</v>
      </c>
      <c r="J43">
        <v>24</v>
      </c>
      <c r="K43">
        <v>95</v>
      </c>
    </row>
    <row r="44" spans="1:11" x14ac:dyDescent="0.3">
      <c r="A44" t="s">
        <v>1</v>
      </c>
      <c r="B44" s="1">
        <v>44504</v>
      </c>
      <c r="C44" t="s">
        <v>7</v>
      </c>
      <c r="D44" t="s">
        <v>19</v>
      </c>
      <c r="E44">
        <v>150</v>
      </c>
      <c r="F44">
        <v>3</v>
      </c>
      <c r="G44">
        <v>46</v>
      </c>
      <c r="H44">
        <v>42</v>
      </c>
      <c r="I44">
        <v>30</v>
      </c>
      <c r="J44">
        <v>16</v>
      </c>
      <c r="K44">
        <v>100</v>
      </c>
    </row>
    <row r="45" spans="1:11" x14ac:dyDescent="0.3">
      <c r="A45" t="s">
        <v>1</v>
      </c>
      <c r="B45" s="1">
        <v>44372</v>
      </c>
      <c r="C45" t="s">
        <v>8</v>
      </c>
      <c r="D45" t="s">
        <v>18</v>
      </c>
      <c r="E45">
        <v>107</v>
      </c>
      <c r="F45">
        <v>2</v>
      </c>
      <c r="G45">
        <v>41</v>
      </c>
      <c r="H45">
        <v>43</v>
      </c>
      <c r="I45">
        <v>31</v>
      </c>
      <c r="J45">
        <v>18</v>
      </c>
      <c r="K45">
        <v>83</v>
      </c>
    </row>
    <row r="46" spans="1:11" x14ac:dyDescent="0.3">
      <c r="A46" t="s">
        <v>1</v>
      </c>
      <c r="B46" s="1">
        <v>44514</v>
      </c>
      <c r="C46" t="s">
        <v>9</v>
      </c>
      <c r="D46" t="s">
        <v>19</v>
      </c>
      <c r="E46">
        <v>141</v>
      </c>
      <c r="F46">
        <v>2</v>
      </c>
      <c r="G46">
        <v>50</v>
      </c>
      <c r="H46">
        <v>47</v>
      </c>
      <c r="I46">
        <v>34</v>
      </c>
      <c r="J46">
        <v>18</v>
      </c>
      <c r="K46">
        <v>90</v>
      </c>
    </row>
    <row r="47" spans="1:11" x14ac:dyDescent="0.3">
      <c r="A47" t="s">
        <v>2</v>
      </c>
      <c r="B47" s="1">
        <v>44462</v>
      </c>
      <c r="C47" t="s">
        <v>10</v>
      </c>
      <c r="D47" t="s">
        <v>32</v>
      </c>
      <c r="E47">
        <v>140</v>
      </c>
      <c r="F47">
        <v>1</v>
      </c>
      <c r="G47">
        <v>44</v>
      </c>
      <c r="H47">
        <v>40</v>
      </c>
      <c r="I47">
        <v>33</v>
      </c>
      <c r="J47">
        <v>19</v>
      </c>
      <c r="K47">
        <v>98</v>
      </c>
    </row>
    <row r="48" spans="1:11" x14ac:dyDescent="0.3">
      <c r="A48" t="s">
        <v>2</v>
      </c>
      <c r="B48" s="1">
        <v>44414</v>
      </c>
      <c r="C48" t="s">
        <v>6</v>
      </c>
      <c r="D48" t="s">
        <v>32</v>
      </c>
      <c r="E48">
        <v>109</v>
      </c>
      <c r="F48">
        <v>3</v>
      </c>
      <c r="G48">
        <v>49</v>
      </c>
      <c r="H48">
        <v>47</v>
      </c>
      <c r="I48">
        <v>33</v>
      </c>
      <c r="J48">
        <v>23</v>
      </c>
      <c r="K48">
        <v>99</v>
      </c>
    </row>
    <row r="49" spans="1:11" x14ac:dyDescent="0.3">
      <c r="A49" t="s">
        <v>2</v>
      </c>
      <c r="B49" s="1">
        <v>44371</v>
      </c>
      <c r="C49" t="s">
        <v>7</v>
      </c>
      <c r="D49" t="s">
        <v>35</v>
      </c>
      <c r="E49">
        <v>101</v>
      </c>
      <c r="F49">
        <v>5</v>
      </c>
      <c r="G49">
        <v>44</v>
      </c>
      <c r="H49">
        <v>46</v>
      </c>
      <c r="I49">
        <v>30</v>
      </c>
      <c r="J49">
        <v>17</v>
      </c>
      <c r="K49">
        <v>83</v>
      </c>
    </row>
    <row r="50" spans="1:11" x14ac:dyDescent="0.3">
      <c r="A50" t="s">
        <v>2</v>
      </c>
      <c r="B50" s="1">
        <v>44288</v>
      </c>
      <c r="C50" t="s">
        <v>8</v>
      </c>
      <c r="D50" t="s">
        <v>36</v>
      </c>
      <c r="E50">
        <v>117</v>
      </c>
      <c r="F50">
        <v>5</v>
      </c>
      <c r="G50">
        <v>45</v>
      </c>
      <c r="H50">
        <v>44</v>
      </c>
      <c r="I50">
        <v>32</v>
      </c>
      <c r="J50">
        <v>17</v>
      </c>
      <c r="K50">
        <v>78</v>
      </c>
    </row>
    <row r="51" spans="1:11" x14ac:dyDescent="0.3">
      <c r="A51" t="s">
        <v>2</v>
      </c>
      <c r="B51" s="1">
        <v>44323</v>
      </c>
      <c r="C51" t="s">
        <v>9</v>
      </c>
      <c r="D51" t="s">
        <v>32</v>
      </c>
      <c r="E51">
        <v>134</v>
      </c>
      <c r="F51">
        <v>1</v>
      </c>
      <c r="G51">
        <v>48</v>
      </c>
      <c r="H51">
        <v>43</v>
      </c>
      <c r="I51">
        <v>33</v>
      </c>
      <c r="J51">
        <v>18</v>
      </c>
      <c r="K51">
        <v>93</v>
      </c>
    </row>
    <row r="52" spans="1:11" x14ac:dyDescent="0.3">
      <c r="A52" t="s">
        <v>2</v>
      </c>
      <c r="B52" s="1">
        <v>44398</v>
      </c>
      <c r="C52" t="s">
        <v>10</v>
      </c>
      <c r="D52" t="s">
        <v>32</v>
      </c>
      <c r="E52">
        <v>103</v>
      </c>
      <c r="F52">
        <v>4</v>
      </c>
      <c r="G52">
        <v>53</v>
      </c>
      <c r="H52">
        <v>42</v>
      </c>
      <c r="I52">
        <v>34</v>
      </c>
      <c r="J52">
        <v>15</v>
      </c>
      <c r="K52">
        <v>97</v>
      </c>
    </row>
    <row r="53" spans="1:11" x14ac:dyDescent="0.3">
      <c r="A53" t="s">
        <v>2</v>
      </c>
      <c r="B53" s="1">
        <v>44433</v>
      </c>
      <c r="C53" t="s">
        <v>7</v>
      </c>
      <c r="D53" t="s">
        <v>35</v>
      </c>
      <c r="E53">
        <v>115</v>
      </c>
      <c r="F53">
        <v>1</v>
      </c>
      <c r="G53">
        <v>40</v>
      </c>
      <c r="H53">
        <v>45</v>
      </c>
      <c r="I53">
        <v>31</v>
      </c>
      <c r="J53">
        <v>23</v>
      </c>
      <c r="K53">
        <v>84</v>
      </c>
    </row>
    <row r="54" spans="1:11" x14ac:dyDescent="0.3">
      <c r="A54" t="s">
        <v>2</v>
      </c>
      <c r="B54" s="1">
        <v>44577</v>
      </c>
      <c r="C54" t="s">
        <v>8</v>
      </c>
      <c r="D54" t="s">
        <v>36</v>
      </c>
      <c r="E54">
        <v>142</v>
      </c>
      <c r="F54">
        <v>1</v>
      </c>
      <c r="G54">
        <v>44</v>
      </c>
      <c r="H54">
        <v>45</v>
      </c>
      <c r="I54">
        <v>33</v>
      </c>
      <c r="J54">
        <v>20</v>
      </c>
      <c r="K54">
        <v>99</v>
      </c>
    </row>
    <row r="55" spans="1:11" x14ac:dyDescent="0.3">
      <c r="A55" t="s">
        <v>3</v>
      </c>
      <c r="B55" s="1">
        <v>44592</v>
      </c>
      <c r="C55" t="s">
        <v>9</v>
      </c>
      <c r="D55" t="s">
        <v>33</v>
      </c>
      <c r="E55">
        <v>148</v>
      </c>
      <c r="F55">
        <v>2</v>
      </c>
      <c r="G55">
        <v>54</v>
      </c>
      <c r="H55">
        <v>42</v>
      </c>
      <c r="I55">
        <v>34</v>
      </c>
      <c r="J55">
        <v>19</v>
      </c>
      <c r="K55">
        <v>99</v>
      </c>
    </row>
    <row r="56" spans="1:11" x14ac:dyDescent="0.3">
      <c r="A56" t="s">
        <v>3</v>
      </c>
      <c r="B56" s="1">
        <v>44518</v>
      </c>
      <c r="C56" t="s">
        <v>10</v>
      </c>
      <c r="D56" t="s">
        <v>21</v>
      </c>
      <c r="E56">
        <v>148</v>
      </c>
      <c r="F56">
        <v>5</v>
      </c>
      <c r="G56">
        <v>44</v>
      </c>
      <c r="H56">
        <v>44</v>
      </c>
      <c r="I56">
        <v>30</v>
      </c>
      <c r="J56">
        <v>24</v>
      </c>
      <c r="K56">
        <v>87</v>
      </c>
    </row>
    <row r="57" spans="1:11" x14ac:dyDescent="0.3">
      <c r="A57" t="s">
        <v>1</v>
      </c>
      <c r="B57" s="1">
        <v>44272</v>
      </c>
      <c r="C57" t="s">
        <v>6</v>
      </c>
      <c r="D57" t="s">
        <v>18</v>
      </c>
      <c r="E57">
        <v>124</v>
      </c>
      <c r="F57">
        <v>5</v>
      </c>
      <c r="G57">
        <v>45</v>
      </c>
      <c r="H57">
        <v>42</v>
      </c>
      <c r="I57">
        <v>35</v>
      </c>
      <c r="J57">
        <v>23</v>
      </c>
      <c r="K57">
        <v>75</v>
      </c>
    </row>
    <row r="58" spans="1:11" x14ac:dyDescent="0.3">
      <c r="A58" t="s">
        <v>1</v>
      </c>
      <c r="B58" s="1">
        <v>44417</v>
      </c>
      <c r="C58" t="s">
        <v>7</v>
      </c>
      <c r="D58" t="s">
        <v>19</v>
      </c>
      <c r="E58">
        <v>111</v>
      </c>
      <c r="F58">
        <v>1</v>
      </c>
      <c r="G58">
        <v>43</v>
      </c>
      <c r="H58">
        <v>42</v>
      </c>
      <c r="I58">
        <v>31</v>
      </c>
      <c r="J58">
        <v>21</v>
      </c>
      <c r="K58">
        <v>93</v>
      </c>
    </row>
    <row r="59" spans="1:11" x14ac:dyDescent="0.3">
      <c r="A59" t="s">
        <v>1</v>
      </c>
      <c r="B59" s="1">
        <v>44318</v>
      </c>
      <c r="C59" t="s">
        <v>8</v>
      </c>
      <c r="D59" t="s">
        <v>18</v>
      </c>
      <c r="E59">
        <v>136</v>
      </c>
      <c r="F59">
        <v>3</v>
      </c>
      <c r="G59">
        <v>42</v>
      </c>
      <c r="H59">
        <v>45</v>
      </c>
      <c r="I59">
        <v>33</v>
      </c>
      <c r="J59">
        <v>21</v>
      </c>
      <c r="K59">
        <v>92</v>
      </c>
    </row>
    <row r="60" spans="1:11" x14ac:dyDescent="0.3">
      <c r="A60" t="s">
        <v>2</v>
      </c>
      <c r="B60" s="1">
        <v>44337</v>
      </c>
      <c r="C60" t="s">
        <v>9</v>
      </c>
      <c r="D60" t="s">
        <v>35</v>
      </c>
      <c r="E60">
        <v>129</v>
      </c>
      <c r="F60">
        <v>1</v>
      </c>
      <c r="G60">
        <v>41</v>
      </c>
      <c r="H60">
        <v>50</v>
      </c>
      <c r="I60">
        <v>33</v>
      </c>
      <c r="J60">
        <v>17</v>
      </c>
      <c r="K60">
        <v>89</v>
      </c>
    </row>
    <row r="61" spans="1:11" x14ac:dyDescent="0.3">
      <c r="A61" t="s">
        <v>2</v>
      </c>
      <c r="B61" s="1">
        <v>44512</v>
      </c>
      <c r="C61" t="s">
        <v>10</v>
      </c>
      <c r="D61" t="s">
        <v>35</v>
      </c>
      <c r="E61">
        <v>103</v>
      </c>
      <c r="F61">
        <v>5</v>
      </c>
      <c r="G61">
        <v>43</v>
      </c>
      <c r="H61">
        <v>40</v>
      </c>
      <c r="I61">
        <v>35</v>
      </c>
      <c r="J61">
        <v>23</v>
      </c>
      <c r="K61">
        <v>75</v>
      </c>
    </row>
    <row r="62" spans="1:11" x14ac:dyDescent="0.3">
      <c r="A62" t="s">
        <v>2</v>
      </c>
      <c r="B62" s="1">
        <v>44584</v>
      </c>
      <c r="C62" t="s">
        <v>6</v>
      </c>
      <c r="D62" t="s">
        <v>35</v>
      </c>
      <c r="E62">
        <v>127</v>
      </c>
      <c r="F62">
        <v>2</v>
      </c>
      <c r="G62">
        <v>43</v>
      </c>
      <c r="H62">
        <v>40</v>
      </c>
      <c r="I62">
        <v>33</v>
      </c>
      <c r="J62">
        <v>15</v>
      </c>
      <c r="K62">
        <v>94</v>
      </c>
    </row>
    <row r="63" spans="1:11" x14ac:dyDescent="0.3">
      <c r="A63" t="s">
        <v>2</v>
      </c>
      <c r="B63" s="1">
        <v>44326</v>
      </c>
      <c r="C63" t="s">
        <v>7</v>
      </c>
      <c r="D63" t="s">
        <v>36</v>
      </c>
      <c r="E63">
        <v>106</v>
      </c>
      <c r="F63">
        <v>2</v>
      </c>
      <c r="G63">
        <v>53</v>
      </c>
      <c r="H63">
        <v>45</v>
      </c>
      <c r="I63">
        <v>34</v>
      </c>
      <c r="J63">
        <v>21</v>
      </c>
      <c r="K63">
        <v>91</v>
      </c>
    </row>
    <row r="64" spans="1:11" x14ac:dyDescent="0.3">
      <c r="A64" t="s">
        <v>2</v>
      </c>
      <c r="B64" s="1">
        <v>44278</v>
      </c>
      <c r="C64" t="s">
        <v>8</v>
      </c>
      <c r="D64" t="s">
        <v>32</v>
      </c>
      <c r="E64">
        <v>128</v>
      </c>
      <c r="F64">
        <v>5</v>
      </c>
      <c r="G64">
        <v>53</v>
      </c>
      <c r="H64">
        <v>42</v>
      </c>
      <c r="I64">
        <v>32</v>
      </c>
      <c r="J64">
        <v>15</v>
      </c>
      <c r="K64">
        <v>87</v>
      </c>
    </row>
    <row r="65" spans="1:11" x14ac:dyDescent="0.3">
      <c r="A65" t="s">
        <v>2</v>
      </c>
      <c r="B65" s="1">
        <v>44593</v>
      </c>
      <c r="C65" t="s">
        <v>9</v>
      </c>
      <c r="D65" t="s">
        <v>32</v>
      </c>
      <c r="E65">
        <v>125</v>
      </c>
      <c r="F65">
        <v>1</v>
      </c>
      <c r="G65">
        <v>43</v>
      </c>
      <c r="H65">
        <v>43</v>
      </c>
      <c r="I65">
        <v>30</v>
      </c>
      <c r="J65">
        <v>23</v>
      </c>
      <c r="K65">
        <v>90</v>
      </c>
    </row>
    <row r="66" spans="1:11" x14ac:dyDescent="0.3">
      <c r="A66" t="s">
        <v>2</v>
      </c>
      <c r="B66" s="1">
        <v>44383</v>
      </c>
      <c r="C66" t="s">
        <v>10</v>
      </c>
      <c r="D66" t="s">
        <v>32</v>
      </c>
      <c r="E66">
        <v>118</v>
      </c>
      <c r="F66">
        <v>4</v>
      </c>
      <c r="G66">
        <v>45</v>
      </c>
      <c r="H66">
        <v>47</v>
      </c>
      <c r="I66">
        <v>32</v>
      </c>
      <c r="J66">
        <v>15</v>
      </c>
      <c r="K66">
        <v>88</v>
      </c>
    </row>
    <row r="67" spans="1:11" x14ac:dyDescent="0.3">
      <c r="A67" t="s">
        <v>2</v>
      </c>
      <c r="B67" s="1">
        <v>44231</v>
      </c>
      <c r="C67" t="s">
        <v>6</v>
      </c>
      <c r="D67" t="s">
        <v>32</v>
      </c>
      <c r="E67">
        <v>100</v>
      </c>
      <c r="F67">
        <v>2</v>
      </c>
      <c r="G67">
        <v>40</v>
      </c>
      <c r="H67">
        <v>50</v>
      </c>
      <c r="I67">
        <v>35</v>
      </c>
      <c r="J67">
        <v>16</v>
      </c>
      <c r="K67">
        <v>89</v>
      </c>
    </row>
    <row r="68" spans="1:11" x14ac:dyDescent="0.3">
      <c r="A68" t="s">
        <v>2</v>
      </c>
      <c r="B68" s="1">
        <v>44564</v>
      </c>
      <c r="C68" t="s">
        <v>7</v>
      </c>
      <c r="D68" t="s">
        <v>32</v>
      </c>
      <c r="E68">
        <v>112</v>
      </c>
      <c r="F68">
        <v>1</v>
      </c>
      <c r="G68">
        <v>50</v>
      </c>
      <c r="H68">
        <v>48</v>
      </c>
      <c r="I68">
        <v>32</v>
      </c>
      <c r="J68">
        <v>15</v>
      </c>
      <c r="K68">
        <v>100</v>
      </c>
    </row>
    <row r="69" spans="1:11" x14ac:dyDescent="0.3">
      <c r="A69" t="s">
        <v>2</v>
      </c>
      <c r="B69" s="1">
        <v>44360</v>
      </c>
      <c r="C69" t="s">
        <v>8</v>
      </c>
      <c r="D69" t="s">
        <v>32</v>
      </c>
      <c r="E69">
        <v>128</v>
      </c>
      <c r="F69">
        <v>2</v>
      </c>
      <c r="G69">
        <v>44</v>
      </c>
      <c r="H69">
        <v>50</v>
      </c>
      <c r="I69">
        <v>30</v>
      </c>
      <c r="J69">
        <v>25</v>
      </c>
      <c r="K69">
        <v>92</v>
      </c>
    </row>
    <row r="70" spans="1:11" x14ac:dyDescent="0.3">
      <c r="A70" t="s">
        <v>2</v>
      </c>
      <c r="B70" s="1">
        <v>44263</v>
      </c>
      <c r="C70" t="s">
        <v>9</v>
      </c>
      <c r="D70" t="s">
        <v>35</v>
      </c>
      <c r="E70">
        <v>149</v>
      </c>
      <c r="F70">
        <v>4</v>
      </c>
      <c r="G70">
        <v>44</v>
      </c>
      <c r="H70">
        <v>50</v>
      </c>
      <c r="I70">
        <v>32</v>
      </c>
      <c r="J70">
        <v>18</v>
      </c>
      <c r="K70">
        <v>99</v>
      </c>
    </row>
    <row r="71" spans="1:11" x14ac:dyDescent="0.3">
      <c r="A71" t="s">
        <v>2</v>
      </c>
      <c r="B71" s="1">
        <v>44461</v>
      </c>
      <c r="C71" t="s">
        <v>10</v>
      </c>
      <c r="D71" t="s">
        <v>35</v>
      </c>
      <c r="E71">
        <v>136</v>
      </c>
      <c r="F71">
        <v>2</v>
      </c>
      <c r="G71">
        <v>46</v>
      </c>
      <c r="H71">
        <v>49</v>
      </c>
      <c r="I71">
        <v>33</v>
      </c>
      <c r="J71">
        <v>19</v>
      </c>
      <c r="K71">
        <v>81</v>
      </c>
    </row>
    <row r="72" spans="1:11" x14ac:dyDescent="0.3">
      <c r="A72" t="s">
        <v>2</v>
      </c>
      <c r="B72" s="1">
        <v>44797</v>
      </c>
      <c r="C72" t="s">
        <v>6</v>
      </c>
      <c r="D72" t="s">
        <v>35</v>
      </c>
      <c r="E72">
        <v>107</v>
      </c>
      <c r="F72">
        <v>1</v>
      </c>
      <c r="G72">
        <v>40</v>
      </c>
      <c r="H72">
        <v>45</v>
      </c>
      <c r="I72">
        <v>32</v>
      </c>
      <c r="J72">
        <v>21</v>
      </c>
      <c r="K72">
        <v>97</v>
      </c>
    </row>
    <row r="73" spans="1:11" x14ac:dyDescent="0.3">
      <c r="A73" t="s">
        <v>2</v>
      </c>
      <c r="B73" s="1">
        <v>44551</v>
      </c>
      <c r="C73" t="s">
        <v>7</v>
      </c>
      <c r="D73" t="s">
        <v>36</v>
      </c>
      <c r="E73">
        <v>144</v>
      </c>
      <c r="F73">
        <v>4</v>
      </c>
      <c r="G73">
        <v>55</v>
      </c>
      <c r="H73">
        <v>43</v>
      </c>
      <c r="I73">
        <v>35</v>
      </c>
      <c r="J73">
        <v>17</v>
      </c>
      <c r="K73">
        <v>89</v>
      </c>
    </row>
    <row r="74" spans="1:11" x14ac:dyDescent="0.3">
      <c r="A74" t="s">
        <v>2</v>
      </c>
      <c r="B74" s="1">
        <v>44441</v>
      </c>
      <c r="C74" t="s">
        <v>8</v>
      </c>
      <c r="D74" t="s">
        <v>32</v>
      </c>
      <c r="E74">
        <v>116</v>
      </c>
      <c r="F74">
        <v>3</v>
      </c>
      <c r="G74">
        <v>44</v>
      </c>
      <c r="H74">
        <v>50</v>
      </c>
      <c r="I74">
        <v>31</v>
      </c>
      <c r="J74">
        <v>24</v>
      </c>
      <c r="K74">
        <v>88</v>
      </c>
    </row>
    <row r="75" spans="1:11" x14ac:dyDescent="0.3">
      <c r="A75" t="s">
        <v>2</v>
      </c>
      <c r="B75" s="1">
        <v>44420</v>
      </c>
      <c r="C75" t="s">
        <v>9</v>
      </c>
      <c r="D75" t="s">
        <v>32</v>
      </c>
      <c r="E75">
        <v>143</v>
      </c>
      <c r="F75">
        <v>1</v>
      </c>
      <c r="G75">
        <v>48</v>
      </c>
      <c r="H75">
        <v>46</v>
      </c>
      <c r="I75">
        <v>30</v>
      </c>
      <c r="J75">
        <v>24</v>
      </c>
      <c r="K75">
        <v>88</v>
      </c>
    </row>
    <row r="76" spans="1:11" x14ac:dyDescent="0.3">
      <c r="A76" t="s">
        <v>2</v>
      </c>
      <c r="B76" s="1">
        <v>44465</v>
      </c>
      <c r="C76" t="s">
        <v>10</v>
      </c>
      <c r="D76" t="s">
        <v>32</v>
      </c>
      <c r="E76">
        <v>145</v>
      </c>
      <c r="F76">
        <v>2</v>
      </c>
      <c r="G76">
        <v>55</v>
      </c>
      <c r="H76">
        <v>50</v>
      </c>
      <c r="I76">
        <v>33</v>
      </c>
      <c r="J76">
        <v>20</v>
      </c>
      <c r="K76">
        <v>94</v>
      </c>
    </row>
    <row r="77" spans="1:11" x14ac:dyDescent="0.3">
      <c r="A77" t="s">
        <v>2</v>
      </c>
      <c r="B77" s="1">
        <v>44425</v>
      </c>
      <c r="C77" t="s">
        <v>9</v>
      </c>
      <c r="D77" t="s">
        <v>32</v>
      </c>
      <c r="E77">
        <v>107</v>
      </c>
      <c r="F77">
        <v>2</v>
      </c>
      <c r="G77">
        <v>48</v>
      </c>
      <c r="H77">
        <v>46</v>
      </c>
      <c r="I77">
        <v>30</v>
      </c>
      <c r="J77">
        <v>17</v>
      </c>
      <c r="K77">
        <v>84</v>
      </c>
    </row>
    <row r="78" spans="1:11" x14ac:dyDescent="0.3">
      <c r="A78" t="s">
        <v>2</v>
      </c>
      <c r="B78" s="1">
        <v>44281</v>
      </c>
      <c r="C78" t="s">
        <v>10</v>
      </c>
      <c r="D78" t="s">
        <v>32</v>
      </c>
      <c r="E78">
        <v>115</v>
      </c>
      <c r="F78">
        <v>2</v>
      </c>
      <c r="G78">
        <v>50</v>
      </c>
      <c r="H78">
        <v>46</v>
      </c>
      <c r="I78">
        <v>31</v>
      </c>
      <c r="J78">
        <v>25</v>
      </c>
      <c r="K78">
        <v>84</v>
      </c>
    </row>
    <row r="79" spans="1:11" x14ac:dyDescent="0.3">
      <c r="A79" t="s">
        <v>2</v>
      </c>
      <c r="B79" s="1">
        <v>44526</v>
      </c>
      <c r="C79" t="s">
        <v>6</v>
      </c>
      <c r="D79" t="s">
        <v>35</v>
      </c>
      <c r="E79">
        <v>139</v>
      </c>
      <c r="F79">
        <v>4</v>
      </c>
      <c r="G79">
        <v>52</v>
      </c>
      <c r="H79">
        <v>48</v>
      </c>
      <c r="I79">
        <v>30</v>
      </c>
      <c r="J79">
        <v>22</v>
      </c>
      <c r="K79">
        <v>92</v>
      </c>
    </row>
    <row r="80" spans="1:11" x14ac:dyDescent="0.3">
      <c r="A80" t="s">
        <v>2</v>
      </c>
      <c r="B80" s="1">
        <v>44236</v>
      </c>
      <c r="C80" t="s">
        <v>7</v>
      </c>
      <c r="D80" t="s">
        <v>35</v>
      </c>
      <c r="E80">
        <v>145</v>
      </c>
      <c r="F80">
        <v>1</v>
      </c>
      <c r="G80">
        <v>43</v>
      </c>
      <c r="H80">
        <v>47</v>
      </c>
      <c r="I80">
        <v>30</v>
      </c>
      <c r="J80">
        <v>20</v>
      </c>
      <c r="K80">
        <v>99</v>
      </c>
    </row>
    <row r="81" spans="1:11" x14ac:dyDescent="0.3">
      <c r="A81" t="s">
        <v>2</v>
      </c>
      <c r="B81" s="1">
        <v>44296</v>
      </c>
      <c r="C81" t="s">
        <v>8</v>
      </c>
      <c r="D81" t="s">
        <v>35</v>
      </c>
      <c r="E81">
        <v>116</v>
      </c>
      <c r="F81">
        <v>2</v>
      </c>
      <c r="G81">
        <v>44</v>
      </c>
      <c r="H81">
        <v>49</v>
      </c>
      <c r="I81">
        <v>33</v>
      </c>
      <c r="J81">
        <v>16</v>
      </c>
      <c r="K81">
        <v>80</v>
      </c>
    </row>
    <row r="82" spans="1:11" x14ac:dyDescent="0.3">
      <c r="A82" t="s">
        <v>2</v>
      </c>
      <c r="B82" s="1">
        <v>44710</v>
      </c>
      <c r="C82" t="s">
        <v>9</v>
      </c>
      <c r="D82" t="s">
        <v>35</v>
      </c>
      <c r="E82">
        <v>142</v>
      </c>
      <c r="F82">
        <v>3</v>
      </c>
      <c r="G82">
        <v>49</v>
      </c>
      <c r="H82">
        <v>40</v>
      </c>
      <c r="I82">
        <v>33</v>
      </c>
      <c r="J82">
        <v>24</v>
      </c>
      <c r="K82">
        <v>82</v>
      </c>
    </row>
    <row r="83" spans="1:11" x14ac:dyDescent="0.3">
      <c r="A83" t="s">
        <v>2</v>
      </c>
      <c r="B83" s="1">
        <v>44533</v>
      </c>
      <c r="C83" t="s">
        <v>10</v>
      </c>
      <c r="D83" t="s">
        <v>36</v>
      </c>
      <c r="E83">
        <v>110</v>
      </c>
      <c r="F83">
        <v>3</v>
      </c>
      <c r="G83">
        <v>45</v>
      </c>
      <c r="H83">
        <v>43</v>
      </c>
      <c r="I83">
        <v>31</v>
      </c>
      <c r="J83">
        <v>17</v>
      </c>
      <c r="K83">
        <v>85</v>
      </c>
    </row>
    <row r="84" spans="1:11" x14ac:dyDescent="0.3">
      <c r="A84" t="s">
        <v>2</v>
      </c>
      <c r="B84" s="1">
        <v>44527</v>
      </c>
      <c r="C84" t="s">
        <v>6</v>
      </c>
      <c r="D84" t="s">
        <v>35</v>
      </c>
      <c r="E84">
        <v>101</v>
      </c>
      <c r="F84">
        <v>5</v>
      </c>
      <c r="G84">
        <v>48</v>
      </c>
      <c r="H84">
        <v>43</v>
      </c>
      <c r="I84">
        <v>32</v>
      </c>
      <c r="J84">
        <v>25</v>
      </c>
      <c r="K84">
        <v>83</v>
      </c>
    </row>
    <row r="85" spans="1:11" x14ac:dyDescent="0.3">
      <c r="A85" t="s">
        <v>2</v>
      </c>
      <c r="B85" s="1">
        <v>44557</v>
      </c>
      <c r="C85" t="s">
        <v>7</v>
      </c>
      <c r="D85" t="s">
        <v>35</v>
      </c>
      <c r="E85">
        <v>145</v>
      </c>
      <c r="F85">
        <v>2</v>
      </c>
      <c r="G85">
        <v>51</v>
      </c>
      <c r="H85">
        <v>46</v>
      </c>
      <c r="I85">
        <v>34</v>
      </c>
      <c r="J85">
        <v>20</v>
      </c>
      <c r="K85">
        <v>89</v>
      </c>
    </row>
    <row r="86" spans="1:11" x14ac:dyDescent="0.3">
      <c r="A86" t="s">
        <v>2</v>
      </c>
      <c r="B86" s="1">
        <v>44290</v>
      </c>
      <c r="C86" t="s">
        <v>8</v>
      </c>
      <c r="D86" t="s">
        <v>35</v>
      </c>
      <c r="E86">
        <v>133</v>
      </c>
      <c r="F86">
        <v>1</v>
      </c>
      <c r="G86">
        <v>55</v>
      </c>
      <c r="H86">
        <v>40</v>
      </c>
      <c r="I86">
        <v>34</v>
      </c>
      <c r="J86">
        <v>16</v>
      </c>
      <c r="K86">
        <v>87</v>
      </c>
    </row>
    <row r="87" spans="1:11" x14ac:dyDescent="0.3">
      <c r="A87" t="s">
        <v>2</v>
      </c>
      <c r="B87" s="1">
        <v>44370</v>
      </c>
      <c r="C87" t="s">
        <v>9</v>
      </c>
      <c r="D87" t="s">
        <v>32</v>
      </c>
      <c r="E87">
        <v>128</v>
      </c>
      <c r="F87">
        <v>5</v>
      </c>
      <c r="G87">
        <v>51</v>
      </c>
      <c r="H87">
        <v>48</v>
      </c>
      <c r="I87">
        <v>32</v>
      </c>
      <c r="J87">
        <v>16</v>
      </c>
      <c r="K87">
        <v>89</v>
      </c>
    </row>
    <row r="88" spans="1:11" x14ac:dyDescent="0.3">
      <c r="A88" t="s">
        <v>2</v>
      </c>
      <c r="B88" s="1">
        <v>44513</v>
      </c>
      <c r="C88" t="s">
        <v>10</v>
      </c>
      <c r="D88" t="s">
        <v>32</v>
      </c>
      <c r="E88">
        <v>123</v>
      </c>
      <c r="F88">
        <v>5</v>
      </c>
      <c r="G88">
        <v>48</v>
      </c>
      <c r="H88">
        <v>46</v>
      </c>
      <c r="I88">
        <v>33</v>
      </c>
      <c r="J88">
        <v>22</v>
      </c>
      <c r="K88">
        <v>81</v>
      </c>
    </row>
    <row r="89" spans="1:11" x14ac:dyDescent="0.3">
      <c r="A89" t="s">
        <v>2</v>
      </c>
      <c r="B89" s="1">
        <v>44429</v>
      </c>
      <c r="C89" t="s">
        <v>6</v>
      </c>
      <c r="D89" t="s">
        <v>32</v>
      </c>
      <c r="E89">
        <v>109</v>
      </c>
      <c r="F89">
        <v>2</v>
      </c>
      <c r="G89">
        <v>50</v>
      </c>
      <c r="H89">
        <v>45</v>
      </c>
      <c r="I89">
        <v>32</v>
      </c>
      <c r="J89">
        <v>18</v>
      </c>
      <c r="K89">
        <v>92</v>
      </c>
    </row>
    <row r="90" spans="1:11" x14ac:dyDescent="0.3">
      <c r="A90" t="s">
        <v>2</v>
      </c>
      <c r="B90" s="1">
        <v>44540</v>
      </c>
      <c r="C90" t="s">
        <v>7</v>
      </c>
      <c r="D90" t="s">
        <v>32</v>
      </c>
      <c r="E90">
        <v>102</v>
      </c>
      <c r="F90">
        <v>1</v>
      </c>
      <c r="G90">
        <v>46</v>
      </c>
      <c r="H90">
        <v>48</v>
      </c>
      <c r="I90">
        <v>35</v>
      </c>
      <c r="J90">
        <v>20</v>
      </c>
      <c r="K90">
        <v>95</v>
      </c>
    </row>
    <row r="91" spans="1:11" x14ac:dyDescent="0.3">
      <c r="A91" t="s">
        <v>2</v>
      </c>
      <c r="B91" s="1">
        <v>44305</v>
      </c>
      <c r="C91" t="s">
        <v>8</v>
      </c>
      <c r="D91" t="s">
        <v>32</v>
      </c>
      <c r="E91">
        <v>143</v>
      </c>
      <c r="F91">
        <v>5</v>
      </c>
      <c r="G91">
        <v>52</v>
      </c>
      <c r="H91">
        <v>48</v>
      </c>
      <c r="I91">
        <v>31</v>
      </c>
      <c r="J91">
        <v>25</v>
      </c>
      <c r="K91">
        <v>86</v>
      </c>
    </row>
    <row r="92" spans="1:11" x14ac:dyDescent="0.3">
      <c r="A92" t="s">
        <v>2</v>
      </c>
      <c r="B92" s="1">
        <v>44505</v>
      </c>
      <c r="C92" t="s">
        <v>9</v>
      </c>
      <c r="D92" t="s">
        <v>32</v>
      </c>
      <c r="E92">
        <v>134</v>
      </c>
      <c r="F92">
        <v>1</v>
      </c>
      <c r="G92">
        <v>41</v>
      </c>
      <c r="H92">
        <v>45</v>
      </c>
      <c r="I92">
        <v>32</v>
      </c>
      <c r="J92">
        <v>25</v>
      </c>
      <c r="K92">
        <v>95</v>
      </c>
    </row>
    <row r="93" spans="1:11" x14ac:dyDescent="0.3">
      <c r="A93" t="s">
        <v>2</v>
      </c>
      <c r="B93" s="1">
        <v>44323</v>
      </c>
      <c r="C93" t="s">
        <v>10</v>
      </c>
      <c r="D93" t="s">
        <v>32</v>
      </c>
      <c r="E93">
        <v>128</v>
      </c>
      <c r="F93">
        <v>1</v>
      </c>
      <c r="G93">
        <v>45</v>
      </c>
      <c r="H93">
        <v>45</v>
      </c>
      <c r="I93">
        <v>32</v>
      </c>
      <c r="J93">
        <v>17</v>
      </c>
      <c r="K93">
        <v>94</v>
      </c>
    </row>
    <row r="94" spans="1:11" x14ac:dyDescent="0.3">
      <c r="A94" t="s">
        <v>2</v>
      </c>
      <c r="B94" s="1">
        <v>44381</v>
      </c>
      <c r="C94" t="s">
        <v>6</v>
      </c>
      <c r="D94" t="s">
        <v>32</v>
      </c>
      <c r="E94">
        <v>103</v>
      </c>
      <c r="F94">
        <v>1</v>
      </c>
      <c r="G94">
        <v>46</v>
      </c>
      <c r="H94">
        <v>49</v>
      </c>
      <c r="I94">
        <v>35</v>
      </c>
      <c r="J94">
        <v>18</v>
      </c>
      <c r="K94">
        <v>91</v>
      </c>
    </row>
    <row r="95" spans="1:11" x14ac:dyDescent="0.3">
      <c r="A95" t="s">
        <v>2</v>
      </c>
      <c r="B95" s="1">
        <v>44554</v>
      </c>
      <c r="C95" t="s">
        <v>7</v>
      </c>
      <c r="D95" t="s">
        <v>36</v>
      </c>
      <c r="E95">
        <v>134</v>
      </c>
      <c r="F95">
        <v>5</v>
      </c>
      <c r="G95">
        <v>55</v>
      </c>
      <c r="H95">
        <v>43</v>
      </c>
      <c r="I95">
        <v>35</v>
      </c>
      <c r="J95">
        <v>20</v>
      </c>
      <c r="K95">
        <v>80</v>
      </c>
    </row>
    <row r="96" spans="1:11" x14ac:dyDescent="0.3">
      <c r="A96" t="s">
        <v>2</v>
      </c>
      <c r="B96" s="1">
        <v>44295</v>
      </c>
      <c r="C96" t="s">
        <v>8</v>
      </c>
      <c r="D96" t="s">
        <v>36</v>
      </c>
      <c r="E96">
        <v>132</v>
      </c>
      <c r="F96">
        <v>1</v>
      </c>
      <c r="G96">
        <v>42</v>
      </c>
      <c r="H96">
        <v>44</v>
      </c>
      <c r="I96">
        <v>33</v>
      </c>
      <c r="J96">
        <v>19</v>
      </c>
      <c r="K96">
        <v>85</v>
      </c>
    </row>
    <row r="97" spans="1:11" x14ac:dyDescent="0.3">
      <c r="A97" t="s">
        <v>2</v>
      </c>
      <c r="B97" s="1">
        <v>44715</v>
      </c>
      <c r="C97" t="s">
        <v>9</v>
      </c>
      <c r="D97" t="s">
        <v>36</v>
      </c>
      <c r="E97">
        <v>114</v>
      </c>
      <c r="F97">
        <v>5</v>
      </c>
      <c r="G97">
        <v>41</v>
      </c>
      <c r="H97">
        <v>49</v>
      </c>
      <c r="I97">
        <v>35</v>
      </c>
      <c r="J97">
        <v>16</v>
      </c>
      <c r="K97">
        <v>81</v>
      </c>
    </row>
    <row r="98" spans="1:11" x14ac:dyDescent="0.3">
      <c r="A98" t="s">
        <v>2</v>
      </c>
      <c r="B98" s="1">
        <v>44504</v>
      </c>
      <c r="C98" t="s">
        <v>10</v>
      </c>
      <c r="D98" t="s">
        <v>36</v>
      </c>
      <c r="E98">
        <v>119</v>
      </c>
      <c r="F98">
        <v>5</v>
      </c>
      <c r="G98">
        <v>52</v>
      </c>
      <c r="H98">
        <v>49</v>
      </c>
      <c r="I98">
        <v>34</v>
      </c>
      <c r="J98">
        <v>19</v>
      </c>
      <c r="K98">
        <v>85</v>
      </c>
    </row>
    <row r="99" spans="1:11" x14ac:dyDescent="0.3">
      <c r="A99" t="s">
        <v>2</v>
      </c>
      <c r="B99" s="1">
        <v>44377</v>
      </c>
      <c r="C99" t="s">
        <v>6</v>
      </c>
      <c r="D99" t="s">
        <v>36</v>
      </c>
      <c r="E99">
        <v>129</v>
      </c>
      <c r="F99">
        <v>1</v>
      </c>
      <c r="G99">
        <v>45</v>
      </c>
      <c r="H99">
        <v>47</v>
      </c>
      <c r="I99">
        <v>34</v>
      </c>
      <c r="J99">
        <v>15</v>
      </c>
      <c r="K99">
        <v>91</v>
      </c>
    </row>
    <row r="100" spans="1:11" x14ac:dyDescent="0.3">
      <c r="A100" t="s">
        <v>2</v>
      </c>
      <c r="B100" s="1">
        <v>44575</v>
      </c>
      <c r="C100" t="s">
        <v>7</v>
      </c>
      <c r="D100" t="s">
        <v>36</v>
      </c>
      <c r="E100">
        <v>150</v>
      </c>
      <c r="F100">
        <v>1</v>
      </c>
      <c r="G100">
        <v>51</v>
      </c>
      <c r="H100">
        <v>48</v>
      </c>
      <c r="I100">
        <v>34</v>
      </c>
      <c r="J100">
        <v>25</v>
      </c>
      <c r="K100">
        <v>83</v>
      </c>
    </row>
    <row r="101" spans="1:11" x14ac:dyDescent="0.3">
      <c r="A101" t="s">
        <v>2</v>
      </c>
      <c r="B101" s="1">
        <v>44337</v>
      </c>
      <c r="C101" t="s">
        <v>8</v>
      </c>
      <c r="D101" t="s">
        <v>36</v>
      </c>
      <c r="E101">
        <v>108</v>
      </c>
      <c r="F101">
        <v>4</v>
      </c>
      <c r="G101">
        <v>44</v>
      </c>
      <c r="H101">
        <v>47</v>
      </c>
      <c r="I101">
        <v>30</v>
      </c>
      <c r="J101">
        <v>18</v>
      </c>
      <c r="K101">
        <v>77</v>
      </c>
    </row>
    <row r="102" spans="1:11" x14ac:dyDescent="0.3">
      <c r="A102" t="s">
        <v>2</v>
      </c>
      <c r="B102" s="1">
        <v>44335</v>
      </c>
      <c r="C102" t="s">
        <v>9</v>
      </c>
      <c r="D102" t="s">
        <v>36</v>
      </c>
      <c r="E102">
        <v>129</v>
      </c>
      <c r="F102">
        <v>3</v>
      </c>
      <c r="G102">
        <v>45</v>
      </c>
      <c r="H102">
        <v>50</v>
      </c>
      <c r="I102">
        <v>31</v>
      </c>
      <c r="J102">
        <v>21</v>
      </c>
      <c r="K102">
        <v>87</v>
      </c>
    </row>
    <row r="103" spans="1:11" x14ac:dyDescent="0.3">
      <c r="A103" t="s">
        <v>2</v>
      </c>
      <c r="B103" s="1">
        <v>44567</v>
      </c>
      <c r="C103" t="s">
        <v>10</v>
      </c>
      <c r="D103" t="s">
        <v>36</v>
      </c>
      <c r="E103">
        <v>113</v>
      </c>
      <c r="F103">
        <v>4</v>
      </c>
      <c r="G103">
        <v>47</v>
      </c>
      <c r="H103">
        <v>41</v>
      </c>
      <c r="I103">
        <v>32</v>
      </c>
      <c r="J103">
        <v>18</v>
      </c>
      <c r="K103">
        <v>82</v>
      </c>
    </row>
    <row r="104" spans="1:11" x14ac:dyDescent="0.3">
      <c r="A104" t="s">
        <v>2</v>
      </c>
      <c r="B104" s="1">
        <v>44348</v>
      </c>
      <c r="C104" t="s">
        <v>7</v>
      </c>
      <c r="D104" t="s">
        <v>36</v>
      </c>
      <c r="E104">
        <v>118</v>
      </c>
      <c r="F104">
        <v>4</v>
      </c>
      <c r="G104">
        <v>48</v>
      </c>
      <c r="H104">
        <v>47</v>
      </c>
      <c r="I104">
        <v>30</v>
      </c>
      <c r="J104">
        <v>21</v>
      </c>
      <c r="K104">
        <v>88</v>
      </c>
    </row>
    <row r="105" spans="1:11" x14ac:dyDescent="0.3">
      <c r="A105" t="s">
        <v>2</v>
      </c>
      <c r="B105" s="1">
        <v>44247</v>
      </c>
      <c r="C105" t="s">
        <v>8</v>
      </c>
      <c r="D105" t="s">
        <v>36</v>
      </c>
      <c r="E105">
        <v>139</v>
      </c>
      <c r="F105">
        <v>1</v>
      </c>
      <c r="G105">
        <v>54</v>
      </c>
      <c r="H105">
        <v>44</v>
      </c>
      <c r="I105">
        <v>32</v>
      </c>
      <c r="J105">
        <v>16</v>
      </c>
      <c r="K105">
        <v>95</v>
      </c>
    </row>
    <row r="106" spans="1:11" x14ac:dyDescent="0.3">
      <c r="A106" t="s">
        <v>2</v>
      </c>
      <c r="B106" s="1">
        <v>44511</v>
      </c>
      <c r="C106" t="s">
        <v>9</v>
      </c>
      <c r="D106" t="s">
        <v>36</v>
      </c>
      <c r="E106">
        <v>135</v>
      </c>
      <c r="F106">
        <v>4</v>
      </c>
      <c r="G106">
        <v>49</v>
      </c>
      <c r="H106">
        <v>43</v>
      </c>
      <c r="I106">
        <v>33</v>
      </c>
      <c r="J106">
        <v>16</v>
      </c>
      <c r="K106">
        <v>88</v>
      </c>
    </row>
    <row r="107" spans="1:11" x14ac:dyDescent="0.3">
      <c r="A107" t="s">
        <v>2</v>
      </c>
      <c r="B107" s="1">
        <v>44580</v>
      </c>
      <c r="C107" t="s">
        <v>10</v>
      </c>
      <c r="D107" t="s">
        <v>36</v>
      </c>
      <c r="E107">
        <v>150</v>
      </c>
      <c r="F107">
        <v>5</v>
      </c>
      <c r="G107">
        <v>41</v>
      </c>
      <c r="H107">
        <v>49</v>
      </c>
      <c r="I107">
        <v>31</v>
      </c>
      <c r="J107">
        <v>25</v>
      </c>
      <c r="K107">
        <v>95</v>
      </c>
    </row>
    <row r="108" spans="1:11" x14ac:dyDescent="0.3">
      <c r="A108" t="s">
        <v>2</v>
      </c>
      <c r="B108" s="1">
        <v>44507</v>
      </c>
      <c r="C108" t="s">
        <v>6</v>
      </c>
      <c r="D108" t="s">
        <v>36</v>
      </c>
      <c r="E108">
        <v>148</v>
      </c>
      <c r="F108">
        <v>3</v>
      </c>
      <c r="G108">
        <v>54</v>
      </c>
      <c r="H108">
        <v>42</v>
      </c>
      <c r="I108">
        <v>31</v>
      </c>
      <c r="J108">
        <v>16</v>
      </c>
      <c r="K108">
        <v>100</v>
      </c>
    </row>
    <row r="109" spans="1:11" x14ac:dyDescent="0.3">
      <c r="A109" t="s">
        <v>2</v>
      </c>
      <c r="B109" s="1">
        <v>44308</v>
      </c>
      <c r="C109" t="s">
        <v>7</v>
      </c>
      <c r="D109" t="s">
        <v>35</v>
      </c>
      <c r="E109">
        <v>148</v>
      </c>
      <c r="F109">
        <v>5</v>
      </c>
      <c r="G109">
        <v>48</v>
      </c>
      <c r="H109">
        <v>44</v>
      </c>
      <c r="I109">
        <v>34</v>
      </c>
      <c r="J109">
        <v>16</v>
      </c>
      <c r="K109">
        <v>85</v>
      </c>
    </row>
    <row r="110" spans="1:11" x14ac:dyDescent="0.3">
      <c r="A110" t="s">
        <v>2</v>
      </c>
      <c r="B110" s="1">
        <v>44443</v>
      </c>
      <c r="C110" t="s">
        <v>8</v>
      </c>
      <c r="D110" t="s">
        <v>35</v>
      </c>
      <c r="E110">
        <v>102</v>
      </c>
      <c r="F110">
        <v>3</v>
      </c>
      <c r="G110">
        <v>44</v>
      </c>
      <c r="H110">
        <v>50</v>
      </c>
      <c r="I110">
        <v>30</v>
      </c>
      <c r="J110">
        <v>23</v>
      </c>
      <c r="K110">
        <v>85</v>
      </c>
    </row>
    <row r="111" spans="1:11" x14ac:dyDescent="0.3">
      <c r="A111" t="s">
        <v>2</v>
      </c>
      <c r="B111" s="1">
        <v>44345</v>
      </c>
      <c r="C111" t="s">
        <v>9</v>
      </c>
      <c r="D111" t="s">
        <v>35</v>
      </c>
      <c r="E111">
        <v>107</v>
      </c>
      <c r="F111">
        <v>4</v>
      </c>
      <c r="G111">
        <v>41</v>
      </c>
      <c r="H111">
        <v>46</v>
      </c>
      <c r="I111">
        <v>35</v>
      </c>
      <c r="J111">
        <v>20</v>
      </c>
      <c r="K111">
        <v>79</v>
      </c>
    </row>
    <row r="112" spans="1:11" x14ac:dyDescent="0.3">
      <c r="A112" t="s">
        <v>2</v>
      </c>
      <c r="B112" s="1">
        <v>44414</v>
      </c>
      <c r="C112" t="s">
        <v>10</v>
      </c>
      <c r="D112" t="s">
        <v>35</v>
      </c>
      <c r="E112">
        <v>135</v>
      </c>
      <c r="F112">
        <v>4</v>
      </c>
      <c r="G112">
        <v>49</v>
      </c>
      <c r="H112">
        <v>48</v>
      </c>
      <c r="I112">
        <v>31</v>
      </c>
      <c r="J112">
        <v>15</v>
      </c>
      <c r="K112">
        <v>78</v>
      </c>
    </row>
    <row r="113" spans="1:11" x14ac:dyDescent="0.3">
      <c r="A113" t="s">
        <v>2</v>
      </c>
      <c r="B113" s="1">
        <v>44577</v>
      </c>
      <c r="C113" t="s">
        <v>6</v>
      </c>
      <c r="D113" t="s">
        <v>35</v>
      </c>
      <c r="E113">
        <v>124</v>
      </c>
      <c r="F113">
        <v>5</v>
      </c>
      <c r="G113">
        <v>53</v>
      </c>
      <c r="H113">
        <v>44</v>
      </c>
      <c r="I113">
        <v>32</v>
      </c>
      <c r="J113">
        <v>15</v>
      </c>
      <c r="K113">
        <v>93</v>
      </c>
    </row>
    <row r="114" spans="1:11" x14ac:dyDescent="0.3">
      <c r="A114" t="s">
        <v>2</v>
      </c>
      <c r="B114" s="1">
        <v>44270</v>
      </c>
      <c r="C114" t="s">
        <v>7</v>
      </c>
      <c r="D114" t="s">
        <v>35</v>
      </c>
      <c r="E114">
        <v>122</v>
      </c>
      <c r="F114">
        <v>2</v>
      </c>
      <c r="G114">
        <v>48</v>
      </c>
      <c r="H114">
        <v>50</v>
      </c>
      <c r="I114">
        <v>33</v>
      </c>
      <c r="J114">
        <v>17</v>
      </c>
      <c r="K114">
        <v>77</v>
      </c>
    </row>
    <row r="115" spans="1:11" x14ac:dyDescent="0.3">
      <c r="A115" t="s">
        <v>2</v>
      </c>
      <c r="B115" s="1">
        <v>44764</v>
      </c>
      <c r="C115" t="s">
        <v>8</v>
      </c>
      <c r="D115" t="s">
        <v>35</v>
      </c>
      <c r="E115">
        <v>141</v>
      </c>
      <c r="F115">
        <v>2</v>
      </c>
      <c r="G115">
        <v>45</v>
      </c>
      <c r="H115">
        <v>45</v>
      </c>
      <c r="I115">
        <v>35</v>
      </c>
      <c r="J115">
        <v>18</v>
      </c>
      <c r="K115">
        <v>75</v>
      </c>
    </row>
    <row r="116" spans="1:11" x14ac:dyDescent="0.3">
      <c r="A116" t="s">
        <v>2</v>
      </c>
      <c r="B116" s="1">
        <v>44588</v>
      </c>
      <c r="C116" t="s">
        <v>9</v>
      </c>
      <c r="D116" t="s">
        <v>36</v>
      </c>
      <c r="E116">
        <v>145</v>
      </c>
      <c r="F116">
        <v>1</v>
      </c>
      <c r="G116">
        <v>50</v>
      </c>
      <c r="H116">
        <v>42</v>
      </c>
      <c r="I116">
        <v>30</v>
      </c>
      <c r="J116">
        <v>19</v>
      </c>
      <c r="K116">
        <v>75</v>
      </c>
    </row>
    <row r="117" spans="1:11" x14ac:dyDescent="0.3">
      <c r="A117" t="s">
        <v>2</v>
      </c>
      <c r="B117" s="1">
        <v>44589</v>
      </c>
      <c r="C117" t="s">
        <v>10</v>
      </c>
      <c r="D117" t="s">
        <v>36</v>
      </c>
      <c r="E117">
        <v>145</v>
      </c>
      <c r="F117">
        <v>1</v>
      </c>
      <c r="G117">
        <v>53</v>
      </c>
      <c r="H117">
        <v>43</v>
      </c>
      <c r="I117">
        <v>34</v>
      </c>
      <c r="J117">
        <v>20</v>
      </c>
      <c r="K117">
        <v>79</v>
      </c>
    </row>
    <row r="118" spans="1:11" x14ac:dyDescent="0.3">
      <c r="A118" t="s">
        <v>2</v>
      </c>
      <c r="B118" s="1">
        <v>44533</v>
      </c>
      <c r="C118" t="s">
        <v>6</v>
      </c>
      <c r="D118" t="s">
        <v>36</v>
      </c>
      <c r="E118">
        <v>147</v>
      </c>
      <c r="F118">
        <v>3</v>
      </c>
      <c r="G118">
        <v>55</v>
      </c>
      <c r="H118">
        <v>46</v>
      </c>
      <c r="I118">
        <v>32</v>
      </c>
      <c r="J118">
        <v>24</v>
      </c>
      <c r="K118">
        <v>96</v>
      </c>
    </row>
    <row r="119" spans="1:11" x14ac:dyDescent="0.3">
      <c r="A119" t="s">
        <v>2</v>
      </c>
      <c r="B119" s="1">
        <v>44524</v>
      </c>
      <c r="C119" t="s">
        <v>7</v>
      </c>
      <c r="D119" t="s">
        <v>36</v>
      </c>
      <c r="E119">
        <v>135</v>
      </c>
      <c r="F119">
        <v>4</v>
      </c>
      <c r="G119">
        <v>51</v>
      </c>
      <c r="H119">
        <v>47</v>
      </c>
      <c r="I119">
        <v>31</v>
      </c>
      <c r="J119">
        <v>17</v>
      </c>
      <c r="K119">
        <v>95</v>
      </c>
    </row>
    <row r="120" spans="1:11" x14ac:dyDescent="0.3">
      <c r="A120" t="s">
        <v>2</v>
      </c>
      <c r="B120" s="1">
        <v>44800</v>
      </c>
      <c r="C120" t="s">
        <v>8</v>
      </c>
      <c r="D120" t="s">
        <v>36</v>
      </c>
      <c r="E120">
        <v>133</v>
      </c>
      <c r="F120">
        <v>3</v>
      </c>
      <c r="G120">
        <v>50</v>
      </c>
      <c r="H120">
        <v>44</v>
      </c>
      <c r="I120">
        <v>33</v>
      </c>
      <c r="J120">
        <v>21</v>
      </c>
      <c r="K120">
        <v>77</v>
      </c>
    </row>
    <row r="121" spans="1:11" x14ac:dyDescent="0.3">
      <c r="A121" t="s">
        <v>2</v>
      </c>
      <c r="B121" s="1">
        <v>44534</v>
      </c>
      <c r="C121" t="s">
        <v>9</v>
      </c>
      <c r="D121" t="s">
        <v>35</v>
      </c>
      <c r="E121">
        <v>138</v>
      </c>
      <c r="F121">
        <v>1</v>
      </c>
      <c r="G121">
        <v>53</v>
      </c>
      <c r="H121">
        <v>49</v>
      </c>
      <c r="I121">
        <v>32</v>
      </c>
      <c r="J121">
        <v>18</v>
      </c>
      <c r="K121">
        <v>83</v>
      </c>
    </row>
    <row r="122" spans="1:11" x14ac:dyDescent="0.3">
      <c r="A122" t="s">
        <v>2</v>
      </c>
      <c r="B122" s="1">
        <v>44914</v>
      </c>
      <c r="C122" t="s">
        <v>10</v>
      </c>
      <c r="D122" t="s">
        <v>35</v>
      </c>
      <c r="E122">
        <v>120</v>
      </c>
      <c r="F122">
        <v>5</v>
      </c>
      <c r="G122">
        <v>41</v>
      </c>
      <c r="H122">
        <v>48</v>
      </c>
      <c r="I122">
        <v>35</v>
      </c>
      <c r="J122">
        <v>25</v>
      </c>
      <c r="K122">
        <v>92</v>
      </c>
    </row>
    <row r="123" spans="1:11" x14ac:dyDescent="0.3">
      <c r="A123" t="s">
        <v>2</v>
      </c>
      <c r="B123" s="1">
        <v>44360</v>
      </c>
      <c r="C123" t="s">
        <v>6</v>
      </c>
      <c r="D123" t="s">
        <v>35</v>
      </c>
      <c r="E123">
        <v>130</v>
      </c>
      <c r="F123">
        <v>1</v>
      </c>
      <c r="G123">
        <v>48</v>
      </c>
      <c r="H123">
        <v>49</v>
      </c>
      <c r="I123">
        <v>34</v>
      </c>
      <c r="J123">
        <v>21</v>
      </c>
      <c r="K123">
        <v>86</v>
      </c>
    </row>
    <row r="124" spans="1:11" x14ac:dyDescent="0.3">
      <c r="A124" t="s">
        <v>2</v>
      </c>
      <c r="B124" s="1">
        <v>44762</v>
      </c>
      <c r="C124" t="s">
        <v>7</v>
      </c>
      <c r="D124" t="s">
        <v>35</v>
      </c>
      <c r="E124">
        <v>120</v>
      </c>
      <c r="F124">
        <v>1</v>
      </c>
      <c r="G124">
        <v>48</v>
      </c>
      <c r="H124">
        <v>45</v>
      </c>
      <c r="I124">
        <v>33</v>
      </c>
      <c r="J124">
        <v>22</v>
      </c>
      <c r="K124">
        <v>96</v>
      </c>
    </row>
    <row r="125" spans="1:11" x14ac:dyDescent="0.3">
      <c r="A125" t="s">
        <v>2</v>
      </c>
      <c r="B125" s="1">
        <v>44408</v>
      </c>
      <c r="C125" t="s">
        <v>8</v>
      </c>
      <c r="D125" t="s">
        <v>35</v>
      </c>
      <c r="E125">
        <v>101</v>
      </c>
      <c r="F125">
        <v>3</v>
      </c>
      <c r="G125">
        <v>47</v>
      </c>
      <c r="H125">
        <v>46</v>
      </c>
      <c r="I125">
        <v>33</v>
      </c>
      <c r="J125">
        <v>25</v>
      </c>
      <c r="K125">
        <v>89</v>
      </c>
    </row>
    <row r="126" spans="1:11" x14ac:dyDescent="0.3">
      <c r="A126" t="s">
        <v>2</v>
      </c>
      <c r="B126" s="1">
        <v>44547</v>
      </c>
      <c r="C126" t="s">
        <v>9</v>
      </c>
      <c r="D126" t="s">
        <v>36</v>
      </c>
      <c r="E126">
        <v>125</v>
      </c>
      <c r="F126">
        <v>2</v>
      </c>
      <c r="G126">
        <v>46</v>
      </c>
      <c r="H126">
        <v>50</v>
      </c>
      <c r="I126">
        <v>34</v>
      </c>
      <c r="J126">
        <v>24</v>
      </c>
      <c r="K126">
        <v>84</v>
      </c>
    </row>
    <row r="127" spans="1:11" x14ac:dyDescent="0.3">
      <c r="A127" t="s">
        <v>2</v>
      </c>
      <c r="B127" s="1">
        <v>44914</v>
      </c>
      <c r="C127" t="s">
        <v>10</v>
      </c>
      <c r="D127" t="s">
        <v>36</v>
      </c>
      <c r="E127">
        <v>137</v>
      </c>
      <c r="F127">
        <v>1</v>
      </c>
      <c r="G127">
        <v>52</v>
      </c>
      <c r="H127">
        <v>49</v>
      </c>
      <c r="I127">
        <v>32</v>
      </c>
      <c r="J127">
        <v>17</v>
      </c>
      <c r="K127">
        <v>92</v>
      </c>
    </row>
    <row r="128" spans="1:11" x14ac:dyDescent="0.3">
      <c r="A128" t="s">
        <v>2</v>
      </c>
      <c r="B128" s="1">
        <v>44340</v>
      </c>
      <c r="C128" t="s">
        <v>10</v>
      </c>
      <c r="D128" t="s">
        <v>36</v>
      </c>
      <c r="E128">
        <v>140</v>
      </c>
      <c r="F128">
        <v>3</v>
      </c>
      <c r="G128">
        <v>45</v>
      </c>
      <c r="H128">
        <v>42</v>
      </c>
      <c r="I128">
        <v>34</v>
      </c>
      <c r="J128">
        <v>23</v>
      </c>
      <c r="K128">
        <v>97</v>
      </c>
    </row>
    <row r="129" spans="1:11" x14ac:dyDescent="0.3">
      <c r="A129" t="s">
        <v>2</v>
      </c>
      <c r="B129" s="1">
        <v>44779</v>
      </c>
      <c r="C129" t="s">
        <v>10</v>
      </c>
      <c r="D129" t="s">
        <v>35</v>
      </c>
      <c r="E129">
        <v>135</v>
      </c>
      <c r="F129">
        <v>4</v>
      </c>
      <c r="G129">
        <v>49</v>
      </c>
      <c r="H129">
        <v>48</v>
      </c>
      <c r="I129">
        <v>31</v>
      </c>
      <c r="J129">
        <v>15</v>
      </c>
      <c r="K129">
        <v>78</v>
      </c>
    </row>
    <row r="130" spans="1:11" x14ac:dyDescent="0.3">
      <c r="A130" t="s">
        <v>2</v>
      </c>
      <c r="B130" s="1">
        <v>44577</v>
      </c>
      <c r="C130" t="s">
        <v>6</v>
      </c>
      <c r="D130" t="s">
        <v>35</v>
      </c>
      <c r="E130">
        <v>124</v>
      </c>
      <c r="F130">
        <v>5</v>
      </c>
      <c r="G130">
        <v>53</v>
      </c>
      <c r="H130">
        <v>44</v>
      </c>
      <c r="I130">
        <v>32</v>
      </c>
      <c r="J130">
        <v>15</v>
      </c>
      <c r="K130">
        <v>93</v>
      </c>
    </row>
    <row r="131" spans="1:11" x14ac:dyDescent="0.3">
      <c r="A131" t="s">
        <v>2</v>
      </c>
      <c r="B131" s="1">
        <v>44635</v>
      </c>
      <c r="C131" t="s">
        <v>7</v>
      </c>
      <c r="D131" t="s">
        <v>35</v>
      </c>
      <c r="E131">
        <v>122</v>
      </c>
      <c r="F131">
        <v>2</v>
      </c>
      <c r="G131">
        <v>48</v>
      </c>
      <c r="H131">
        <v>50</v>
      </c>
      <c r="I131">
        <v>33</v>
      </c>
      <c r="J131">
        <v>17</v>
      </c>
      <c r="K131">
        <v>77</v>
      </c>
    </row>
    <row r="132" spans="1:11" x14ac:dyDescent="0.3">
      <c r="A132" t="s">
        <v>2</v>
      </c>
      <c r="B132" s="1">
        <v>44887</v>
      </c>
      <c r="C132" t="s">
        <v>8</v>
      </c>
      <c r="D132" t="s">
        <v>35</v>
      </c>
      <c r="E132">
        <v>141</v>
      </c>
      <c r="F132">
        <v>2</v>
      </c>
      <c r="G132">
        <v>45</v>
      </c>
      <c r="H132">
        <v>45</v>
      </c>
      <c r="I132">
        <v>35</v>
      </c>
      <c r="J132">
        <v>18</v>
      </c>
      <c r="K132">
        <v>75</v>
      </c>
    </row>
    <row r="133" spans="1:11" x14ac:dyDescent="0.3">
      <c r="A133" t="s">
        <v>2</v>
      </c>
      <c r="B133" s="1">
        <v>44861</v>
      </c>
      <c r="C133" t="s">
        <v>9</v>
      </c>
      <c r="D133" t="s">
        <v>36</v>
      </c>
      <c r="E133">
        <v>145</v>
      </c>
      <c r="F133">
        <v>1</v>
      </c>
      <c r="G133">
        <v>50</v>
      </c>
      <c r="H133">
        <v>42</v>
      </c>
      <c r="I133">
        <v>30</v>
      </c>
      <c r="J133">
        <v>19</v>
      </c>
      <c r="K133">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9930-1173-45B0-829B-1395A5B79678}">
  <dimension ref="B2:K11"/>
  <sheetViews>
    <sheetView workbookViewId="0">
      <selection activeCell="F7" sqref="F7"/>
    </sheetView>
  </sheetViews>
  <sheetFormatPr defaultRowHeight="14.4" x14ac:dyDescent="0.3"/>
  <cols>
    <col min="3" max="3" width="10" customWidth="1"/>
    <col min="10" max="10" width="9.33203125" customWidth="1"/>
  </cols>
  <sheetData>
    <row r="2" spans="2:11" x14ac:dyDescent="0.3">
      <c r="E2" t="s">
        <v>26</v>
      </c>
      <c r="F2" t="s">
        <v>27</v>
      </c>
      <c r="G2" t="s">
        <v>0</v>
      </c>
    </row>
    <row r="3" spans="2:11" x14ac:dyDescent="0.3">
      <c r="B3" t="s">
        <v>25</v>
      </c>
      <c r="C3" t="s">
        <v>5</v>
      </c>
      <c r="E3">
        <v>1</v>
      </c>
      <c r="F3" t="s">
        <v>18</v>
      </c>
      <c r="G3" t="s">
        <v>2</v>
      </c>
    </row>
    <row r="4" spans="2:11" x14ac:dyDescent="0.3">
      <c r="B4">
        <v>1</v>
      </c>
      <c r="C4" t="s">
        <v>6</v>
      </c>
      <c r="E4">
        <f>+E3+1</f>
        <v>2</v>
      </c>
      <c r="F4" t="s">
        <v>19</v>
      </c>
      <c r="G4" t="s">
        <v>1</v>
      </c>
    </row>
    <row r="5" spans="2:11" x14ac:dyDescent="0.3">
      <c r="B5">
        <v>2</v>
      </c>
      <c r="C5" t="s">
        <v>7</v>
      </c>
      <c r="E5">
        <f t="shared" ref="E5:E11" si="0">+E4+1</f>
        <v>3</v>
      </c>
      <c r="F5" t="s">
        <v>31</v>
      </c>
      <c r="G5" t="s">
        <v>1</v>
      </c>
      <c r="I5" t="s">
        <v>25</v>
      </c>
      <c r="J5" t="s">
        <v>0</v>
      </c>
    </row>
    <row r="6" spans="2:11" x14ac:dyDescent="0.3">
      <c r="B6">
        <v>3</v>
      </c>
      <c r="C6" t="s">
        <v>8</v>
      </c>
      <c r="E6">
        <f t="shared" si="0"/>
        <v>4</v>
      </c>
      <c r="F6" t="s">
        <v>32</v>
      </c>
      <c r="G6" t="s">
        <v>2</v>
      </c>
      <c r="I6">
        <v>1</v>
      </c>
      <c r="J6" t="s">
        <v>1</v>
      </c>
      <c r="K6" s="14"/>
    </row>
    <row r="7" spans="2:11" x14ac:dyDescent="0.3">
      <c r="B7">
        <v>4</v>
      </c>
      <c r="C7" t="s">
        <v>9</v>
      </c>
      <c r="E7">
        <f t="shared" si="0"/>
        <v>5</v>
      </c>
      <c r="F7" t="s">
        <v>36</v>
      </c>
      <c r="G7" t="s">
        <v>2</v>
      </c>
      <c r="I7">
        <f>+I6+1</f>
        <v>2</v>
      </c>
      <c r="J7" t="s">
        <v>2</v>
      </c>
    </row>
    <row r="8" spans="2:11" x14ac:dyDescent="0.3">
      <c r="B8">
        <v>5</v>
      </c>
      <c r="C8" t="s">
        <v>10</v>
      </c>
      <c r="E8">
        <f t="shared" si="0"/>
        <v>6</v>
      </c>
      <c r="F8" t="s">
        <v>35</v>
      </c>
      <c r="G8" t="s">
        <v>2</v>
      </c>
      <c r="I8">
        <f>+I7+1</f>
        <v>3</v>
      </c>
      <c r="J8" t="s">
        <v>3</v>
      </c>
    </row>
    <row r="9" spans="2:11" x14ac:dyDescent="0.3">
      <c r="E9">
        <f t="shared" si="0"/>
        <v>7</v>
      </c>
      <c r="F9" t="s">
        <v>33</v>
      </c>
      <c r="G9" t="s">
        <v>3</v>
      </c>
    </row>
    <row r="10" spans="2:11" x14ac:dyDescent="0.3">
      <c r="E10">
        <f t="shared" si="0"/>
        <v>8</v>
      </c>
      <c r="F10" t="s">
        <v>21</v>
      </c>
      <c r="G10" t="s">
        <v>3</v>
      </c>
    </row>
    <row r="11" spans="2:11" x14ac:dyDescent="0.3">
      <c r="E11">
        <f t="shared" si="0"/>
        <v>9</v>
      </c>
      <c r="F11" t="s">
        <v>22</v>
      </c>
      <c r="G11" t="s">
        <v>3</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D4A9B70-4250-4794-B0DA-A9596DB31014}">
  <ds:schemaRefs/>
</ds:datastoreItem>
</file>

<file path=customXml/itemProps2.xml><?xml version="1.0" encoding="utf-8"?>
<ds:datastoreItem xmlns:ds="http://schemas.openxmlformats.org/officeDocument/2006/customXml" ds:itemID="{5DCFB645-1E95-47CA-A60D-AFBEBA999848}">
  <ds:schemaRefs/>
</ds:datastoreItem>
</file>

<file path=customXml/itemProps3.xml><?xml version="1.0" encoding="utf-8"?>
<ds:datastoreItem xmlns:ds="http://schemas.openxmlformats.org/officeDocument/2006/customXml" ds:itemID="{7BBE303D-F9FA-40FB-BAB6-E1D52DC156BA}">
  <ds:schemaRefs/>
</ds:datastoreItem>
</file>

<file path=customXml/itemProps4.xml><?xml version="1.0" encoding="utf-8"?>
<ds:datastoreItem xmlns:ds="http://schemas.openxmlformats.org/officeDocument/2006/customXml" ds:itemID="{F301DFC4-07FC-4E9B-9BE8-21221DEAA572}">
  <ds:schemaRefs/>
</ds:datastoreItem>
</file>

<file path=customXml/itemProps5.xml><?xml version="1.0" encoding="utf-8"?>
<ds:datastoreItem xmlns:ds="http://schemas.openxmlformats.org/officeDocument/2006/customXml" ds:itemID="{52BB6C1F-B624-41F6-AAFC-DD6835DA66B8}">
  <ds:schemaRefs/>
</ds:datastoreItem>
</file>

<file path=customXml/itemProps6.xml><?xml version="1.0" encoding="utf-8"?>
<ds:datastoreItem xmlns:ds="http://schemas.openxmlformats.org/officeDocument/2006/customXml" ds:itemID="{7BC4A721-E8A9-4D69-A858-E1CD7B68FC52}">
  <ds:schemaRefs/>
</ds:datastoreItem>
</file>

<file path=customXml/itemProps7.xml><?xml version="1.0" encoding="utf-8"?>
<ds:datastoreItem xmlns:ds="http://schemas.openxmlformats.org/officeDocument/2006/customXml" ds:itemID="{DC8453A9-BA38-4E19-BE2D-A9F8B91BC8E2}">
  <ds:schemaRefs/>
</ds:datastoreItem>
</file>

<file path=customXml/itemProps8.xml><?xml version="1.0" encoding="utf-8"?>
<ds:datastoreItem xmlns:ds="http://schemas.openxmlformats.org/officeDocument/2006/customXml" ds:itemID="{96E312F0-E5F1-4397-836C-C8149C161D38}">
  <ds:schemaRefs/>
</ds:datastoreItem>
</file>

<file path=customXml/itemProps9.xml><?xml version="1.0" encoding="utf-8"?>
<ds:datastoreItem xmlns:ds="http://schemas.openxmlformats.org/officeDocument/2006/customXml" ds:itemID="{F6E0EBFD-9E8A-4C59-852B-73D5E927BFD9}">
  <ds:schemaRefs/>
</ds:datastoreItem>
</file>

<file path=customXml/itemProps10.xml><?xml version="1.0" encoding="utf-8"?>
<ds:datastoreItem xmlns:ds="http://schemas.openxmlformats.org/officeDocument/2006/customXml" ds:itemID="{0B9EF1C2-B778-4554-98FB-808E29EF217E}">
  <ds:schemaRefs/>
</ds:datastoreItem>
</file>

<file path=customXml/itemProps11.xml><?xml version="1.0" encoding="utf-8"?>
<ds:datastoreItem xmlns:ds="http://schemas.openxmlformats.org/officeDocument/2006/customXml" ds:itemID="{6C5BBA9B-10AC-433D-809C-11A6A3E685EB}">
  <ds:schemaRefs/>
</ds:datastoreItem>
</file>

<file path=customXml/itemProps12.xml><?xml version="1.0" encoding="utf-8"?>
<ds:datastoreItem xmlns:ds="http://schemas.openxmlformats.org/officeDocument/2006/customXml" ds:itemID="{0F666E7E-6566-44F8-957C-DCAA4DF9911C}">
  <ds:schemaRefs/>
</ds:datastoreItem>
</file>

<file path=customXml/itemProps13.xml><?xml version="1.0" encoding="utf-8"?>
<ds:datastoreItem xmlns:ds="http://schemas.openxmlformats.org/officeDocument/2006/customXml" ds:itemID="{77DD067D-9127-463F-8A3B-27BB51641157}">
  <ds:schemaRefs/>
</ds:datastoreItem>
</file>

<file path=customXml/itemProps14.xml><?xml version="1.0" encoding="utf-8"?>
<ds:datastoreItem xmlns:ds="http://schemas.openxmlformats.org/officeDocument/2006/customXml" ds:itemID="{BCA84A10-D49A-44FA-A078-ED0E66704A76}">
  <ds:schemaRefs/>
</ds:datastoreItem>
</file>

<file path=customXml/itemProps15.xml><?xml version="1.0" encoding="utf-8"?>
<ds:datastoreItem xmlns:ds="http://schemas.openxmlformats.org/officeDocument/2006/customXml" ds:itemID="{1F30874B-5F73-4496-9D2D-621B07F3AA64}">
  <ds:schemaRefs/>
</ds:datastoreItem>
</file>

<file path=customXml/itemProps16.xml><?xml version="1.0" encoding="utf-8"?>
<ds:datastoreItem xmlns:ds="http://schemas.openxmlformats.org/officeDocument/2006/customXml" ds:itemID="{7DBFD43E-4D1A-4E93-B906-650B454EDCC1}">
  <ds:schemaRefs/>
</ds:datastoreItem>
</file>

<file path=customXml/itemProps17.xml><?xml version="1.0" encoding="utf-8"?>
<ds:datastoreItem xmlns:ds="http://schemas.openxmlformats.org/officeDocument/2006/customXml" ds:itemID="{314BF80E-7A5B-4198-B617-2AF966B7F26D}">
  <ds:schemaRefs/>
</ds:datastoreItem>
</file>

<file path=customXml/itemProps18.xml><?xml version="1.0" encoding="utf-8"?>
<ds:datastoreItem xmlns:ds="http://schemas.openxmlformats.org/officeDocument/2006/customXml" ds:itemID="{915644C3-4069-4D00-977C-98CBD0CB1A39}">
  <ds:schemaRefs/>
</ds:datastoreItem>
</file>

<file path=customXml/itemProps19.xml><?xml version="1.0" encoding="utf-8"?>
<ds:datastoreItem xmlns:ds="http://schemas.openxmlformats.org/officeDocument/2006/customXml" ds:itemID="{A5E17F1E-081E-4EEE-B5C4-A5AABDB2DAEB}">
  <ds:schemaRefs/>
</ds:datastoreItem>
</file>

<file path=customXml/itemProps20.xml><?xml version="1.0" encoding="utf-8"?>
<ds:datastoreItem xmlns:ds="http://schemas.openxmlformats.org/officeDocument/2006/customXml" ds:itemID="{6DC1D4D2-0C03-4E89-977A-DD03C4E5A5E8}">
  <ds:schemaRefs/>
</ds:datastoreItem>
</file>

<file path=customXml/itemProps21.xml><?xml version="1.0" encoding="utf-8"?>
<ds:datastoreItem xmlns:ds="http://schemas.openxmlformats.org/officeDocument/2006/customXml" ds:itemID="{9C9C4BE7-1C00-49D6-8F81-0613D9698AC4}">
  <ds:schemaRefs/>
</ds:datastoreItem>
</file>

<file path=customXml/itemProps22.xml><?xml version="1.0" encoding="utf-8"?>
<ds:datastoreItem xmlns:ds="http://schemas.openxmlformats.org/officeDocument/2006/customXml" ds:itemID="{29A4700A-3634-4D52-97A1-07BD85D8E44A}">
  <ds:schemaRefs/>
</ds:datastoreItem>
</file>

<file path=customXml/itemProps23.xml><?xml version="1.0" encoding="utf-8"?>
<ds:datastoreItem xmlns:ds="http://schemas.openxmlformats.org/officeDocument/2006/customXml" ds:itemID="{E7F06323-5B30-4D28-A722-4E481E79CE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WFD</vt:lpstr>
      <vt:lpstr>TBl_Sales</vt:lpstr>
      <vt:lpstr>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2026-06-17T14:52:41Z</dcterms:modified>
</cp:coreProperties>
</file>